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5607c4459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44b85e62dc4368"/>
    <x:sheet xmlns:r="http://schemas.openxmlformats.org/officeDocument/2006/relationships" name="Transactions" sheetId="2" r:id="Rb73d5daa9ff84638"/>
    <x:sheet xmlns:r="http://schemas.openxmlformats.org/officeDocument/2006/relationships" name="Monthly Summary" sheetId="3" r:id="R39163b9b1840405b"/>
    <x:sheet xmlns:r="http://schemas.openxmlformats.org/officeDocument/2006/relationships" name="Product Analysis" sheetId="4" r:id="R33ab625e87904a80"/>
    <x:sheet xmlns:r="http://schemas.openxmlformats.org/officeDocument/2006/relationships" name="Region Analysis" sheetId="5" r:id="R72ee8cc79ddd40b0"/>
    <x:sheet xmlns:r="http://schemas.openxmlformats.org/officeDocument/2006/relationships" name="Data Dictionary" sheetId="6" r:id="Rb6bf34fde058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£#,##0.00"/>
    <x:numFmt numFmtId="202" formatCode="0%"/>
    <x:numFmt numFmtId="203" formatCode="0.0%"/>
    <x:numFmt numFmtId="204" formatCode="£#,##0"/>
    <x:numFmt numFmtId="205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8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5"/>
      </x:patternFill>
    </x:fill>
    <x:fill>
      <x:patternFill patternType="solid">
        <x:fgColor rgb="FF197A86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 applyAlignment="1">
      <x:alignment horizontal="center" vertical="center"/>
    </x:xf>
    <x:xf numFmtId="204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205" fontId="4" fillId="5" borderId="0" xfId="0" applyNumberFormat="1" applyFont="1" applyFill="1" applyBorder="1" applyAlignment="1">
      <x:alignment horizontal="center" vertical="center"/>
    </x:xf>
    <x:xf numFmtId="205" fontId="4" fillId="5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0cacbddd9474b" /><Relationship Type="http://schemas.openxmlformats.org/officeDocument/2006/relationships/theme" Target="/xl/theme/theme1.xml" Id="R58174d6bb4ac4cb5" /><Relationship Type="http://schemas.openxmlformats.org/officeDocument/2006/relationships/sharedStrings" Target="/xl/sharedStrings.xml" Id="R0cf4819f4ba84b90" /><Relationship Type="http://schemas.openxmlformats.org/officeDocument/2006/relationships/worksheet" Target="/xl/worksheets/sheet1.xml" Id="Rcf44b85e62dc4368" /><Relationship Type="http://schemas.openxmlformats.org/officeDocument/2006/relationships/worksheet" Target="/xl/worksheets/sheet2.xml" Id="Rb73d5daa9ff84638" /><Relationship Type="http://schemas.openxmlformats.org/officeDocument/2006/relationships/worksheet" Target="/xl/worksheets/sheet3.xml" Id="R39163b9b1840405b" /><Relationship Type="http://schemas.openxmlformats.org/officeDocument/2006/relationships/worksheet" Target="/xl/worksheets/sheet4.xml" Id="R33ab625e87904a80" /><Relationship Type="http://schemas.openxmlformats.org/officeDocument/2006/relationships/worksheet" Target="/xl/worksheets/sheet5.xml" Id="R72ee8cc79ddd40b0" /><Relationship Type="http://schemas.openxmlformats.org/officeDocument/2006/relationships/worksheet" Target="/xl/worksheets/sheet6.xml" Id="Rb6bf34fde0584a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e275fb0bba47b1" /><Relationship Type="http://schemas.openxmlformats.org/officeDocument/2006/relationships/chart" Target="/xl/drawings/charts/chart2.xml" Id="Rf1450b80368d4d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953eb9367a948e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d6f6f99b4074e4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89050377c3042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Gross Profit by Year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£#,##0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'Dashboard'!$G$11:$G$13</c:f>
              <c:strCache>
                <c:ptCount val="0"/>
              </c:strCache>
            </c:strRef>
          </c:cat>
          <c:val>
            <c:numRef>
              <c:f>'Dashboard'!$H$11:$H$13</c:f>
              <c:numCache>
                <c:formatCode>£#,##0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'Dashboard'!$G$11:$G$13</c:f>
              <c:strCache>
                <c:ptCount val="0"/>
              </c:strCache>
            </c:strRef>
          </c:cat>
          <c:val>
            <c:numRef>
              <c:f>'Dashboard'!$I$11:$I$13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Gross Profit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Summary'!$A$2:$A$33</c:f>
              <c:strCache>
                <c:ptCount val="0"/>
              </c:strCache>
            </c:strRef>
          </c:cat>
          <c:val>
            <c:numRef>
              <c:f>'Monthly Summary'!$B$2:$B$33</c:f>
              <c:numCache>
                <c:formatCode>£#,##0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'Monthly Summary'!$A$2:$A$33</c:f>
              <c:strCache>
                <c:ptCount val="0"/>
              </c:strCache>
            </c:strRef>
          </c:cat>
          <c:val>
            <c:numRef>
              <c:f>'Monthly Summary'!$C$2:$C$33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Category</c:v>
          </c:tx>
          <c:cat>
            <c:strRef>
              <c:f>'Product Analysis'!$A$2:$A$9</c:f>
              <c:strCache>
                <c:ptCount val="0"/>
              </c:strCache>
            </c:strRef>
          </c:cat>
          <c:val>
            <c:numRef>
              <c:f>'Product Analysis'!$B$2:$B$9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'Product Analysis'!$A$2:$A$9</c:f>
              <c:strCache>
                <c:ptCount val="0"/>
              </c:strCache>
            </c:strRef>
          </c:cat>
          <c:val>
            <c:numRef>
              <c:f>'Product Analysis'!$C$2:$C$9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Performance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'Region Analysis'!$A$2:$A$6</c:f>
              <c:strCache>
                <c:ptCount val="0"/>
              </c:strCache>
            </c:strRef>
          </c:cat>
          <c:val>
            <c:numRef>
              <c:f>'Region Analysis'!$B$2:$B$6</c:f>
              <c:numCache>
                <c:formatCode>£#,##0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'Region Analysis'!$A$2:$A$6</c:f>
              <c:strCache>
                <c:ptCount val="0"/>
              </c:strCache>
            </c:strRef>
          </c:cat>
          <c:val>
            <c:numRef>
              <c:f>'Region Analysis'!$C$2:$C$6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e275fb0bba47b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450b80368d4de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53eb9367a948e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6f6f99b4074e4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9050377c3042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Table" displayName="TransactionsTable" ref="A1:R951" headerRowCount="1" totalsRowCount="0" totalsRowShown="0">
  <x:tableColumns count="18">
    <x:tableColumn id="1" name="TransactionID"/>
    <x:tableColumn id="2" name="OrderDate"/>
    <x:tableColumn id="3" name="ProductID"/>
    <x:tableColumn id="4" name="Product"/>
    <x:tableColumn id="5" name="Category"/>
    <x:tableColumn id="6" name="Region"/>
    <x:tableColumn id="7" name="Channel"/>
    <x:tableColumn id="8" name="Status"/>
    <x:tableColumn id="9" name="Quantity"/>
    <x:tableColumn id="10" name="UnitPriceGBP"/>
    <x:tableColumn id="11" name="UnitCostGBP"/>
    <x:tableColumn id="12" name="DiscountPct"/>
    <x:tableColumn id="13" name="NetRevenueGBP"/>
    <x:tableColumn id="14" name="COGS_GBP"/>
    <x:tableColumn id="15" name="GrossProfitGBP"/>
    <x:tableColumn id="16" name="GrossMarginPct"/>
    <x:tableColumn id="17" name="Year"/>
    <x:tableColumn id="18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398e7a78a749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40c2f1957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943710848a847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72b808788ec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ab25f419249420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20" t="str">
        <x:v>Business Performance Dashboard</x:v>
      </x:c>
    </x:row>
    <x:row r="3">
      <x:c r="A3" s="26" t="str">
        <x:v>Synthetic UK retail transactions | 2024–Aug 2026 | Excel portfolio</x:v>
      </x:c>
    </x:row>
    <x:row r="5">
      <x:c r="A5" s="32" t="str">
        <x:v>Net Revenue</x:v>
      </x:c>
      <x:c r="D5" s="32" t="str">
        <x:v>Gross Profit</x:v>
      </x:c>
      <x:c r="G5" s="32" t="str">
        <x:v>Gross Margin</x:v>
      </x:c>
      <x:c r="J5" s="32" t="str">
        <x:v>Completed Orders</x:v>
      </x:c>
    </x:row>
    <x:row r="6">
      <x:c r="A6" s="44" t="n">
        <x:f>SUM(Transactions!M2:M951)</x:f>
        <x:v>439690.60300000006</x:v>
      </x:c>
      <x:c r="D6" s="44" t="n">
        <x:f>SUM(Transactions!O2:O951)</x:f>
        <x:v>157638.69300000006</x:v>
      </x:c>
      <x:c r="G6" s="46" t="n">
        <x:f>IFERROR(SUM(Transactions!O2:O951)/SUM(Transactions!M2:M951),0)</x:f>
        <x:v>0.35852186042738793</x:v>
      </x:c>
      <x:c r="J6" s="48" t="n">
        <x:f>COUNTIF(Transactions!H2:H951,"Completed")</x:f>
        <x:v>758</x:v>
      </x:c>
    </x:row>
    <x:row r="10">
      <x:c r="A10" s="3" t="str">
        <x:v>Year</x:v>
      </x:c>
      <x:c r="B10" s="3" t="str">
        <x:v>Revenue</x:v>
      </x:c>
      <x:c r="C10" s="3" t="str">
        <x:v>Gross Profit</x:v>
      </x:c>
      <x:c r="D10" s="3" t="str">
        <x:v>Margin</x:v>
      </x:c>
      <x:c r="E10" s="3" t="str">
        <x:v>Completed Orders</x:v>
      </x:c>
      <x:c r="G10" s="3" t="str">
        <x:v>Category</x:v>
      </x:c>
      <x:c r="H10" s="3" t="str">
        <x:v>Revenue</x:v>
      </x:c>
      <x:c r="I10" s="3" t="str">
        <x:v>Gross Profit</x:v>
      </x:c>
    </x:row>
    <x:row r="11">
      <x:c r="A11" s="52" t="n">
        <x:v>2024</x:v>
      </x:c>
      <x:c r="B11" s="50" t="n">
        <x:f>SUMIFS(Transactions!$M$2:$M$951,Transactions!$Q$2:$Q$951,A11)</x:f>
        <x:v>170022.52650000004</x:v>
      </x:c>
      <x:c r="C11" s="50" t="n">
        <x:f>SUMIFS(Transactions!$O$2:$O$951,Transactions!$Q$2:$Q$951,A11)</x:f>
        <x:v>60377.706499999986</x:v>
      </x:c>
      <x:c r="D11" s="16" t="n">
        <x:f>IFERROR(C11/B11,0)</x:f>
        <x:v>0.3551159234185358</x:v>
      </x:c>
      <x:c r="E11" s="52" t="n">
        <x:f>COUNTIFS(Transactions!$Q$2:$Q$951,A11,Transactions!$H$2:$H$951,"Completed")</x:f>
        <x:v>286</x:v>
      </x:c>
      <x:c r="G11" t="str">
        <x:v>Electronics</x:v>
      </x:c>
      <x:c r="H11" s="50" t="n">
        <x:f>SUMIFS(Transactions!$M$2:$M$951,Transactions!$E$2:$E$951,G11)</x:f>
        <x:v>310559.9404999999</x:v>
      </x:c>
      <x:c r="I11" s="50" t="n">
        <x:f>SUMIFS(Transactions!$O$2:$O$951,Transactions!$E$2:$E$951,G11)</x:f>
        <x:v>101192.69050000003</x:v>
      </x:c>
    </x:row>
    <x:row r="12">
      <x:c r="A12" s="52" t="n">
        <x:v>2025</x:v>
      </x:c>
      <x:c r="B12" s="50" t="n">
        <x:f>SUMIFS(Transactions!$M$2:$M$951,Transactions!$Q$2:$Q$951,A12)</x:f>
        <x:v>153985.46950000004</x:v>
      </x:c>
      <x:c r="C12" s="50" t="n">
        <x:f>SUMIFS(Transactions!$O$2:$O$951,Transactions!$Q$2:$Q$951,A12)</x:f>
        <x:v>55699.60949999999</x:v>
      </x:c>
      <x:c r="D12" s="16" t="n">
        <x:f>IFERROR(C12/B12,0)</x:f>
        <x:v>0.36171990565642287</x:v>
      </x:c>
      <x:c r="E12" s="52" t="n">
        <x:f>COUNTIFS(Transactions!$Q$2:$Q$951,A12,Transactions!$H$2:$H$951,"Completed")</x:f>
        <x:v>279</x:v>
      </x:c>
      <x:c r="G12" t="str">
        <x:v>Accessories</x:v>
      </x:c>
      <x:c r="H12" s="50" t="n">
        <x:f>SUMIFS(Transactions!$M$2:$M$951,Transactions!$E$2:$E$951,G12)</x:f>
        <x:v>32665.68050000002</x:v>
      </x:c>
      <x:c r="I12" s="50" t="n">
        <x:f>SUMIFS(Transactions!$O$2:$O$951,Transactions!$E$2:$E$951,G12)</x:f>
        <x:v>15446.720499999996</x:v>
      </x:c>
    </x:row>
    <x:row r="13">
      <x:c r="A13" s="52" t="n">
        <x:v>2026</x:v>
      </x:c>
      <x:c r="B13" s="50" t="n">
        <x:f>SUMIFS(Transactions!$M$2:$M$951,Transactions!$Q$2:$Q$951,A13)</x:f>
        <x:v>115682.60699999995</x:v>
      </x:c>
      <x:c r="C13" s="50" t="n">
        <x:f>SUMIFS(Transactions!$O$2:$O$951,Transactions!$Q$2:$Q$951,A13)</x:f>
        <x:v>41561.376999999986</x:v>
      </x:c>
      <x:c r="D13" s="16" t="n">
        <x:f>IFERROR(C13/B13,0)</x:f>
        <x:v>0.3592707501828689</x:v>
      </x:c>
      <x:c r="E13" s="52" t="n">
        <x:f>COUNTIFS(Transactions!$Q$2:$Q$951,A13,Transactions!$H$2:$H$951,"Completed")</x:f>
        <x:v>193</x:v>
      </x:c>
      <x:c r="G13" t="str">
        <x:v>Furniture</x:v>
      </x:c>
      <x:c r="H13" s="50" t="n">
        <x:f>SUMIFS(Transactions!$M$2:$M$951,Transactions!$E$2:$E$951,G13)</x:f>
        <x:v>96464.98199999999</x:v>
      </x:c>
      <x:c r="I13" s="50" t="n">
        <x:f>SUMIFS(Transactions!$O$2:$O$951,Transactions!$E$2:$E$951,G13)</x:f>
        <x:v>40999.28200000001</x:v>
      </x:c>
    </x:row>
    <x:row r="32">
      <x:c r="A32" s="31" t="str">
        <x:v>Portfolio highlights</x:v>
      </x:c>
    </x:row>
    <x:row r="33">
      <x:c r="A33" s="55" t="str">
        <x:v>This workbook demonstrates Excel data modelling, formula-driven KPIs, SUMIFS/COUNTIFS analysis, conditional formatting and dashboard visualisation. Cancelled orders are excluded from revenue and profit.</x:v>
      </x:c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32:L32"/>
    <x:mergeCell ref="A33:L36"/>
  </x:mergeCells>
  <x:pageMargins left="0.7" right="0.7" top="0.75" bottom="0.75" header="0.3" footer="0.3"/>
  <x:drawing xmlns:r="http://schemas.openxmlformats.org/officeDocument/2006/relationships" r:id="Rc9398e7a78a74994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15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3" hidden="0" customWidth="1"/>
    <x:col min="11" max="11" width="13" hidden="0" customWidth="1"/>
    <x:col min="12" max="12" width="11" hidden="0" customWidth="1"/>
    <x:col min="13" max="13" width="15" hidden="0" customWidth="1"/>
    <x:col min="14" max="14" width="13" hidden="0" customWidth="1"/>
    <x:col min="15" max="15" width="15" hidden="0" customWidth="1"/>
    <x:col min="16" max="16" width="13" hidden="0" customWidth="1"/>
    <x:col min="17" max="17" width="9" hidden="0" customWidth="1"/>
    <x:col min="18" max="18" width="11" hidden="0" customWidth="1"/>
  </x:cols>
  <x:sheetData>
    <x:row r="1">
      <x:c r="A1" s="5" t="str">
        <x:v>TransactionID</x:v>
      </x:c>
      <x:c r="B1" s="5" t="str">
        <x:v>OrderDate</x:v>
      </x:c>
      <x:c r="C1" s="5" t="str">
        <x:v>ProductID</x:v>
      </x:c>
      <x:c r="D1" s="5" t="str">
        <x:v>Product</x:v>
      </x:c>
      <x:c r="E1" s="5" t="str">
        <x:v>Category</x:v>
      </x:c>
      <x:c r="F1" s="5" t="str">
        <x:v>Region</x:v>
      </x:c>
      <x:c r="G1" s="5" t="str">
        <x:v>Channel</x:v>
      </x:c>
      <x:c r="H1" s="5" t="str">
        <x:v>Status</x:v>
      </x:c>
      <x:c r="I1" s="5" t="str">
        <x:v>Quantity</x:v>
      </x:c>
      <x:c r="J1" s="5" t="str">
        <x:v>UnitPriceGBP</x:v>
      </x:c>
      <x:c r="K1" s="5" t="str">
        <x:v>UnitCostGBP</x:v>
      </x:c>
      <x:c r="L1" s="5" t="str">
        <x:v>DiscountPct</x:v>
      </x:c>
      <x:c r="M1" s="5" t="str">
        <x:v>NetRevenueGBP</x:v>
      </x:c>
      <x:c r="N1" s="5" t="str">
        <x:v>COGS_GBP</x:v>
      </x:c>
      <x:c r="O1" s="5" t="str">
        <x:v>GrossProfitGBP</x:v>
      </x:c>
      <x:c r="P1" s="5" t="str">
        <x:v>GrossMarginPct</x:v>
      </x:c>
      <x:c r="Q1" s="5" t="str">
        <x:v>Year</x:v>
      </x:c>
      <x:c r="R1" s="5" t="str">
        <x:v>Month</x:v>
      </x:c>
    </x:row>
    <x:row r="2">
      <x:c r="A2" t="n">
        <x:v>10659</x:v>
      </x:c>
      <x:c r="B2" s="10" t="n">
        <x:v>45292</x:v>
      </x:c>
      <x:c r="C2" t="str">
        <x:v>P006</x:v>
      </x:c>
      <x:c r="D2" t="str">
        <x:v>Chair</x:v>
      </x:c>
      <x:c r="E2" t="str">
        <x:v>Furniture</x:v>
      </x:c>
      <x:c r="F2" t="str">
        <x:v>Scotland</x:v>
      </x:c>
      <x:c r="G2" t="str">
        <x:v>Partner</x:v>
      </x:c>
      <x:c r="H2" t="str">
        <x:v>Completed</x:v>
      </x:c>
      <x:c r="I2" t="n">
        <x:v>1</x:v>
      </x:c>
      <x:c r="J2" s="12" t="n">
        <x:v>137.59</x:v>
      </x:c>
      <x:c r="K2" s="12" t="n">
        <x:v>67.98</x:v>
      </x:c>
      <x:c r="L2" s="14" t="n">
        <x:v>0.05</x:v>
      </x:c>
      <x:c r="M2" s="12" t="n">
        <x:f>IF(H2="Completed",I2*J2*(1-L2),0)</x:f>
        <x:v>130.7105</x:v>
      </x:c>
      <x:c r="N2" s="12" t="n">
        <x:f>IF(H2="Completed",I2*K2,0)</x:f>
        <x:v>67.98</x:v>
      </x:c>
      <x:c r="O2" s="12" t="n">
        <x:f>M2-N2</x:f>
        <x:v>62.73049999999999</x:v>
      </x:c>
      <x:c r="P2" s="16" t="n">
        <x:f>IFERROR(O2/M2,0)</x:f>
        <x:v>0.4799193637848527</x:v>
      </x:c>
      <x:c r="Q2" t="n">
        <x:f>YEAR(B2)</x:f>
        <x:v>2024</x:v>
      </x:c>
      <x:c r="R2" t="str">
        <x:f>TEXT(B2,"yyyy-mm")</x:f>
        <x:v>2024-01</x:v>
      </x:c>
    </x:row>
    <x:row r="3">
      <x:c r="A3" t="n">
        <x:v>10096</x:v>
      </x:c>
      <x:c r="B3" s="10" t="n">
        <x:v>45293</x:v>
      </x:c>
      <x:c r="C3" t="str">
        <x:v>P008</x:v>
      </x:c>
      <x:c r="D3" t="str">
        <x:v>Webcam</x:v>
      </x:c>
      <x:c r="E3" t="str">
        <x:v>Electronics</x:v>
      </x:c>
      <x:c r="F3" t="str">
        <x:v>North</x:v>
      </x:c>
      <x:c r="G3" t="str">
        <x:v>Online</x:v>
      </x:c>
      <x:c r="H3" t="str">
        <x:v>Cancelled</x:v>
      </x:c>
      <x:c r="I3" t="n">
        <x:v>4</x:v>
      </x:c>
      <x:c r="J3" s="12" t="n">
        <x:v>90.23</x:v>
      </x:c>
      <x:c r="K3" s="12" t="n">
        <x:v>42.76</x:v>
      </x:c>
      <x:c r="L3" s="14" t="n">
        <x:v>0.05</x:v>
      </x:c>
      <x:c r="M3" s="12" t="n">
        <x:f>IF(H3="Completed",I3*J3*(1-L3),0)</x:f>
        <x:v>0</x:v>
      </x:c>
      <x:c r="N3" s="12" t="n">
        <x:f>IF(H3="Completed",I3*K3,0)</x:f>
        <x:v>0</x:v>
      </x:c>
      <x:c r="O3" s="12" t="n">
        <x:f>M3-N3</x:f>
        <x:v>0</x:v>
      </x:c>
      <x:c r="P3" s="16" t="n">
        <x:f>IFERROR(O3/M3,0)</x:f>
        <x:v>0</x:v>
      </x:c>
      <x:c r="Q3" t="n">
        <x:f>YEAR(B3)</x:f>
        <x:v>2024</x:v>
      </x:c>
      <x:c r="R3" t="str">
        <x:f>TEXT(B3,"yyyy-mm")</x:f>
        <x:v>2024-01</x:v>
      </x:c>
    </x:row>
    <x:row r="4">
      <x:c r="A4" t="n">
        <x:v>10322</x:v>
      </x:c>
      <x:c r="B4" s="10" t="n">
        <x:v>45293</x:v>
      </x:c>
      <x:c r="C4" t="str">
        <x:v>P004</x:v>
      </x:c>
      <x:c r="D4" t="str">
        <x:v>Mouse</x:v>
      </x:c>
      <x:c r="E4" t="str">
        <x:v>Accessories</x:v>
      </x:c>
      <x:c r="F4" t="str">
        <x:v>North</x:v>
      </x:c>
      <x:c r="G4" t="str">
        <x:v>Retail</x:v>
      </x:c>
      <x:c r="H4" t="str">
        <x:v>Cancelled</x:v>
      </x:c>
      <x:c r="I4" t="n">
        <x:v>4</x:v>
      </x:c>
      <x:c r="J4" s="12" t="n">
        <x:v>27.03</x:v>
      </x:c>
      <x:c r="K4" s="12" t="n">
        <x:v>12.75</x:v>
      </x:c>
      <x:c r="L4" s="14" t="n">
        <x:v>0.15</x:v>
      </x:c>
      <x:c r="M4" s="12" t="n">
        <x:f>IF(H4="Completed",I4*J4*(1-L4),0)</x:f>
        <x:v>0</x:v>
      </x:c>
      <x:c r="N4" s="12" t="n">
        <x:f>IF(H4="Completed",I4*K4,0)</x:f>
        <x:v>0</x:v>
      </x:c>
      <x:c r="O4" s="12" t="n">
        <x:f>M4-N4</x:f>
        <x:v>0</x:v>
      </x:c>
      <x:c r="P4" s="16" t="n">
        <x:f>IFERROR(O4/M4,0)</x:f>
        <x:v>0</x:v>
      </x:c>
      <x:c r="Q4" t="n">
        <x:f>YEAR(B4)</x:f>
        <x:v>2024</x:v>
      </x:c>
      <x:c r="R4" t="str">
        <x:f>TEXT(B4,"yyyy-mm")</x:f>
        <x:v>2024-01</x:v>
      </x:c>
    </x:row>
    <x:row r="5">
      <x:c r="A5" t="n">
        <x:v>10376</x:v>
      </x:c>
      <x:c r="B5" s="10" t="n">
        <x:v>45293</x:v>
      </x:c>
      <x:c r="C5" t="str">
        <x:v>P001</x:v>
      </x:c>
      <x:c r="D5" t="str">
        <x:v>Laptop</x:v>
      </x:c>
      <x:c r="E5" t="str">
        <x:v>Electronics</x:v>
      </x:c>
      <x:c r="F5" t="str">
        <x:v>Midlands</x:v>
      </x:c>
      <x:c r="G5" t="str">
        <x:v>Online</x:v>
      </x:c>
      <x:c r="H5" t="str">
        <x:v>Completed</x:v>
      </x:c>
      <x:c r="I5" t="n">
        <x:v>4</x:v>
      </x:c>
      <x:c r="J5" s="12" t="n">
        <x:v>924.15</x:v>
      </x:c>
      <x:c r="K5" s="12" t="n">
        <x:v>619.34</x:v>
      </x:c>
      <x:c r="L5" s="14" t="n">
        <x:v>0.05</x:v>
      </x:c>
      <x:c r="M5" s="12" t="n">
        <x:f>IF(H5="Completed",I5*J5*(1-L5),0)</x:f>
        <x:v>3511.7699999999995</x:v>
      </x:c>
      <x:c r="N5" s="12" t="n">
        <x:f>IF(H5="Completed",I5*K5,0)</x:f>
        <x:v>2477.36</x:v>
      </x:c>
      <x:c r="O5" s="12" t="n">
        <x:f>M5-N5</x:f>
        <x:v>1034.4099999999994</x:v>
      </x:c>
      <x:c r="P5" s="16" t="n">
        <x:f>IFERROR(O5/M5,0)</x:f>
        <x:v>0.29455516733726855</x:v>
      </x:c>
      <x:c r="Q5" t="n">
        <x:f>YEAR(B5)</x:f>
        <x:v>2024</x:v>
      </x:c>
      <x:c r="R5" t="str">
        <x:f>TEXT(B5,"yyyy-mm")</x:f>
        <x:v>2024-01</x:v>
      </x:c>
    </x:row>
    <x:row r="6">
      <x:c r="A6" t="n">
        <x:v>10027</x:v>
      </x:c>
      <x:c r="B6" s="10" t="n">
        <x:v>45294</x:v>
      </x:c>
      <x:c r="C6" t="str">
        <x:v>P007</x:v>
      </x:c>
      <x:c r="D6" t="str">
        <x:v>Headset</x:v>
      </x:c>
      <x:c r="E6" t="str">
        <x:v>Accessories</x:v>
      </x:c>
      <x:c r="F6" t="str">
        <x:v>Wales</x:v>
      </x:c>
      <x:c r="G6" t="str">
        <x:v>Retail</x:v>
      </x:c>
      <x:c r="H6" t="str">
        <x:v>Completed</x:v>
      </x:c>
      <x:c r="I6" t="n">
        <x:v>3</x:v>
      </x:c>
      <x:c r="J6" s="12" t="n">
        <x:v>73.35</x:v>
      </x:c>
      <x:c r="K6" s="12" t="n">
        <x:v>35.58</x:v>
      </x:c>
      <x:c r="L6" s="14" t="n">
        <x:v>0.05</x:v>
      </x:c>
      <x:c r="M6" s="12" t="n">
        <x:f>IF(H6="Completed",I6*J6*(1-L6),0)</x:f>
        <x:v>209.04749999999999</x:v>
      </x:c>
      <x:c r="N6" s="12" t="n">
        <x:f>IF(H6="Completed",I6*K6,0)</x:f>
        <x:v>106.74</x:v>
      </x:c>
      <x:c r="O6" s="12" t="n">
        <x:f>M6-N6</x:f>
        <x:v>102.30749999999999</x:v>
      </x:c>
      <x:c r="P6" s="16" t="n">
        <x:f>IFERROR(O6/M6,0)</x:f>
        <x:v>0.4893983424819718</x:v>
      </x:c>
      <x:c r="Q6" t="n">
        <x:f>YEAR(B6)</x:f>
        <x:v>2024</x:v>
      </x:c>
      <x:c r="R6" t="str">
        <x:f>TEXT(B6,"yyyy-mm")</x:f>
        <x:v>2024-01</x:v>
      </x:c>
    </x:row>
    <x:row r="7">
      <x:c r="A7" t="n">
        <x:v>10428</x:v>
      </x:c>
      <x:c r="B7" s="10" t="n">
        <x:v>45294</x:v>
      </x:c>
      <x:c r="C7" t="str">
        <x:v>P001</x:v>
      </x:c>
      <x:c r="D7" t="str">
        <x:v>Laptop</x:v>
      </x:c>
      <x:c r="E7" t="str">
        <x:v>Electronics</x:v>
      </x:c>
      <x:c r="F7" t="str">
        <x:v>Wales</x:v>
      </x:c>
      <x:c r="G7" t="str">
        <x:v>Retail</x:v>
      </x:c>
      <x:c r="H7" t="str">
        <x:v>Completed</x:v>
      </x:c>
      <x:c r="I7" t="n">
        <x:v>1</x:v>
      </x:c>
      <x:c r="J7" s="12" t="n">
        <x:v>953.54</x:v>
      </x:c>
      <x:c r="K7" s="12" t="n">
        <x:v>631.77</x:v>
      </x:c>
      <x:c r="L7" s="14" t="n">
        <x:v>0</x:v>
      </x:c>
      <x:c r="M7" s="12" t="n">
        <x:f>IF(H7="Completed",I7*J7*(1-L7),0)</x:f>
        <x:v>953.54</x:v>
      </x:c>
      <x:c r="N7" s="12" t="n">
        <x:f>IF(H7="Completed",I7*K7,0)</x:f>
        <x:v>631.77</x:v>
      </x:c>
      <x:c r="O7" s="12" t="n">
        <x:f>M7-N7</x:f>
        <x:v>321.77</x:v>
      </x:c>
      <x:c r="P7" s="16" t="n">
        <x:f>IFERROR(O7/M7,0)</x:f>
        <x:v>0.3374478259957632</x:v>
      </x:c>
      <x:c r="Q7" t="n">
        <x:f>YEAR(B7)</x:f>
        <x:v>2024</x:v>
      </x:c>
      <x:c r="R7" t="str">
        <x:f>TEXT(B7,"yyyy-mm")</x:f>
        <x:v>2024-01</x:v>
      </x:c>
    </x:row>
    <x:row r="8">
      <x:c r="A8" t="n">
        <x:v>10038</x:v>
      </x:c>
      <x:c r="B8" s="10" t="n">
        <x:v>45295</x:v>
      </x:c>
      <x:c r="C8" t="str">
        <x:v>P006</x:v>
      </x:c>
      <x:c r="D8" t="str">
        <x:v>Chair</x:v>
      </x:c>
      <x:c r="E8" t="str">
        <x:v>Furniture</x:v>
      </x:c>
      <x:c r="F8" t="str">
        <x:v>South</x:v>
      </x:c>
      <x:c r="G8" t="str">
        <x:v>Online</x:v>
      </x:c>
      <x:c r="H8" t="str">
        <x:v>Completed</x:v>
      </x:c>
      <x:c r="I8" t="n">
        <x:v>2</x:v>
      </x:c>
      <x:c r="J8" s="12" t="n">
        <x:v>137.62</x:v>
      </x:c>
      <x:c r="K8" s="12" t="n">
        <x:v>68.55</x:v>
      </x:c>
      <x:c r="L8" s="14" t="n">
        <x:v>0.1</x:v>
      </x:c>
      <x:c r="M8" s="12" t="n">
        <x:f>IF(H8="Completed",I8*J8*(1-L8),0)</x:f>
        <x:v>247.716</x:v>
      </x:c>
      <x:c r="N8" s="12" t="n">
        <x:f>IF(H8="Completed",I8*K8,0)</x:f>
        <x:v>137.1</x:v>
      </x:c>
      <x:c r="O8" s="12" t="n">
        <x:f>M8-N8</x:f>
        <x:v>110.61600000000001</x:v>
      </x:c>
      <x:c r="P8" s="16" t="n">
        <x:f>IFERROR(O8/M8,0)</x:f>
        <x:v>0.44654362253548424</x:v>
      </x:c>
      <x:c r="Q8" t="n">
        <x:f>YEAR(B8)</x:f>
        <x:v>2024</x:v>
      </x:c>
      <x:c r="R8" t="str">
        <x:f>TEXT(B8,"yyyy-mm")</x:f>
        <x:v>2024-01</x:v>
      </x:c>
    </x:row>
    <x:row r="9">
      <x:c r="A9" t="n">
        <x:v>10811</x:v>
      </x:c>
      <x:c r="B9" s="10" t="n">
        <x:v>45295</x:v>
      </x:c>
      <x:c r="C9" t="str">
        <x:v>P007</x:v>
      </x:c>
      <x:c r="D9" t="str">
        <x:v>Headset</x:v>
      </x:c>
      <x:c r="E9" t="str">
        <x:v>Accessories</x:v>
      </x:c>
      <x:c r="F9" t="str">
        <x:v>South</x:v>
      </x:c>
      <x:c r="G9" t="str">
        <x:v>Online</x:v>
      </x:c>
      <x:c r="H9" t="str">
        <x:v>Completed</x:v>
      </x:c>
      <x:c r="I9" t="n">
        <x:v>2</x:v>
      </x:c>
      <x:c r="J9" s="12" t="n">
        <x:v>70.64</x:v>
      </x:c>
      <x:c r="K9" s="12" t="n">
        <x:v>35.2</x:v>
      </x:c>
      <x:c r="L9" s="14" t="n">
        <x:v>0</x:v>
      </x:c>
      <x:c r="M9" s="12" t="n">
        <x:f>IF(H9="Completed",I9*J9*(1-L9),0)</x:f>
        <x:v>141.28</x:v>
      </x:c>
      <x:c r="N9" s="12" t="n">
        <x:f>IF(H9="Completed",I9*K9,0)</x:f>
        <x:v>70.4</x:v>
      </x:c>
      <x:c r="O9" s="12" t="n">
        <x:f>M9-N9</x:f>
        <x:v>70.88</x:v>
      </x:c>
      <x:c r="P9" s="16" t="n">
        <x:f>IFERROR(O9/M9,0)</x:f>
        <x:v>0.5016987542468856</x:v>
      </x:c>
      <x:c r="Q9" t="n">
        <x:f>YEAR(B9)</x:f>
        <x:v>2024</x:v>
      </x:c>
      <x:c r="R9" t="str">
        <x:f>TEXT(B9,"yyyy-mm")</x:f>
        <x:v>2024-01</x:v>
      </x:c>
    </x:row>
    <x:row r="10">
      <x:c r="A10" t="n">
        <x:v>10517</x:v>
      </x:c>
      <x:c r="B10" s="10" t="n">
        <x:v>45296</x:v>
      </x:c>
      <x:c r="C10" t="str">
        <x:v>P005</x:v>
      </x:c>
      <x:c r="D10" t="str">
        <x:v>Desk</x:v>
      </x:c>
      <x:c r="E10" t="str">
        <x:v>Furniture</x:v>
      </x:c>
      <x:c r="F10" t="str">
        <x:v>Midlands</x:v>
      </x:c>
      <x:c r="G10" t="str">
        <x:v>Online</x:v>
      </x:c>
      <x:c r="H10" t="str">
        <x:v>Completed</x:v>
      </x:c>
      <x:c r="I10" t="n">
        <x:v>2</x:v>
      </x:c>
      <x:c r="J10" s="12" t="n">
        <x:v>272.41</x:v>
      </x:c>
      <x:c r="K10" s="12" t="n">
        <x:v>159.24</x:v>
      </x:c>
      <x:c r="L10" s="14" t="n">
        <x:v>0.1</x:v>
      </x:c>
      <x:c r="M10" s="12" t="n">
        <x:f>IF(H10="Completed",I10*J10*(1-L10),0)</x:f>
        <x:v>490.3380000000001</x:v>
      </x:c>
      <x:c r="N10" s="12" t="n">
        <x:f>IF(H10="Completed",I10*K10,0)</x:f>
        <x:v>318.48</x:v>
      </x:c>
      <x:c r="O10" s="12" t="n">
        <x:f>M10-N10</x:f>
        <x:v>171.85800000000006</x:v>
      </x:c>
      <x:c r="P10" s="16" t="n">
        <x:f>IFERROR(O10/M10,0)</x:f>
        <x:v>0.35048884646917033</x:v>
      </x:c>
      <x:c r="Q10" t="n">
        <x:f>YEAR(B10)</x:f>
        <x:v>2024</x:v>
      </x:c>
      <x:c r="R10" t="str">
        <x:f>TEXT(B10,"yyyy-mm")</x:f>
        <x:v>2024-01</x:v>
      </x:c>
    </x:row>
    <x:row r="11">
      <x:c r="A11" t="n">
        <x:v>10907</x:v>
      </x:c>
      <x:c r="B11" s="10" t="n">
        <x:v>45296</x:v>
      </x:c>
      <x:c r="C11" t="str">
        <x:v>P001</x:v>
      </x:c>
      <x:c r="D11" t="str">
        <x:v>Laptop</x:v>
      </x:c>
      <x:c r="E11" t="str">
        <x:v>Electronics</x:v>
      </x:c>
      <x:c r="F11" t="str">
        <x:v>Midlands</x:v>
      </x:c>
      <x:c r="G11" t="str">
        <x:v>Partner</x:v>
      </x:c>
      <x:c r="H11" t="str">
        <x:v>Completed</x:v>
      </x:c>
      <x:c r="I11" t="n">
        <x:v>2</x:v>
      </x:c>
      <x:c r="J11" s="12" t="n">
        <x:v>927.06</x:v>
      </x:c>
      <x:c r="K11" s="12" t="n">
        <x:v>632.01</x:v>
      </x:c>
      <x:c r="L11" s="14" t="n">
        <x:v>0.05</x:v>
      </x:c>
      <x:c r="M11" s="12" t="n">
        <x:f>IF(H11="Completed",I11*J11*(1-L11),0)</x:f>
        <x:v>1761.4139999999998</x:v>
      </x:c>
      <x:c r="N11" s="12" t="n">
        <x:f>IF(H11="Completed",I11*K11,0)</x:f>
        <x:v>1264.02</x:v>
      </x:c>
      <x:c r="O11" s="12" t="n">
        <x:f>M11-N11</x:f>
        <x:v>497.3939999999998</x:v>
      </x:c>
      <x:c r="P11" s="16" t="n">
        <x:f>IFERROR(O11/M11,0)</x:f>
        <x:v>0.28238335791585617</x:v>
      </x:c>
      <x:c r="Q11" t="n">
        <x:f>YEAR(B11)</x:f>
        <x:v>2024</x:v>
      </x:c>
      <x:c r="R11" t="str">
        <x:f>TEXT(B11,"yyyy-mm")</x:f>
        <x:v>2024-01</x:v>
      </x:c>
    </x:row>
    <x:row r="12">
      <x:c r="A12" t="n">
        <x:v>10235</x:v>
      </x:c>
      <x:c r="B12" s="10" t="n">
        <x:v>45298</x:v>
      </x:c>
      <x:c r="C12" t="str">
        <x:v>P005</x:v>
      </x:c>
      <x:c r="D12" t="str">
        <x:v>Desk</x:v>
      </x:c>
      <x:c r="E12" t="str">
        <x:v>Furniture</x:v>
      </x:c>
      <x:c r="F12" t="str">
        <x:v>North</x:v>
      </x:c>
      <x:c r="G12" t="str">
        <x:v>Retail</x:v>
      </x:c>
      <x:c r="H12" t="str">
        <x:v>Completed</x:v>
      </x:c>
      <x:c r="I12" t="n">
        <x:v>4</x:v>
      </x:c>
      <x:c r="J12" s="12" t="n">
        <x:v>277.96</x:v>
      </x:c>
      <x:c r="K12" s="12" t="n">
        <x:v>156.34</x:v>
      </x:c>
      <x:c r="L12" s="14" t="n">
        <x:v>0</x:v>
      </x:c>
      <x:c r="M12" s="12" t="n">
        <x:f>IF(H12="Completed",I12*J12*(1-L12),0)</x:f>
        <x:v>1111.84</x:v>
      </x:c>
      <x:c r="N12" s="12" t="n">
        <x:f>IF(H12="Completed",I12*K12,0)</x:f>
        <x:v>625.36</x:v>
      </x:c>
      <x:c r="O12" s="12" t="n">
        <x:f>M12-N12</x:f>
        <x:v>486.4799999999999</x:v>
      </x:c>
      <x:c r="P12" s="16" t="n">
        <x:f>IFERROR(O12/M12,0)</x:f>
        <x:v>0.43754497049935237</x:v>
      </x:c>
      <x:c r="Q12" t="n">
        <x:f>YEAR(B12)</x:f>
        <x:v>2024</x:v>
      </x:c>
      <x:c r="R12" t="str">
        <x:f>TEXT(B12,"yyyy-mm")</x:f>
        <x:v>2024-01</x:v>
      </x:c>
    </x:row>
    <x:row r="13">
      <x:c r="A13" t="n">
        <x:v>10595</x:v>
      </x:c>
      <x:c r="B13" s="10" t="n">
        <x:v>45300</x:v>
      </x:c>
      <x:c r="C13" t="str">
        <x:v>P002</x:v>
      </x:c>
      <x:c r="D13" t="str">
        <x:v>Monitor</x:v>
      </x:c>
      <x:c r="E13" t="str">
        <x:v>Electronics</x:v>
      </x:c>
      <x:c r="F13" t="str">
        <x:v>South</x:v>
      </x:c>
      <x:c r="G13" t="str">
        <x:v>Retail</x:v>
      </x:c>
      <x:c r="H13" t="str">
        <x:v>Completed</x:v>
      </x:c>
      <x:c r="I13" t="n">
        <x:v>4</x:v>
      </x:c>
      <x:c r="J13" s="12" t="n">
        <x:v>276.83</x:v>
      </x:c>
      <x:c r="K13" s="12" t="n">
        <x:v>173.97</x:v>
      </x:c>
      <x:c r="L13" s="14" t="n">
        <x:v>0</x:v>
      </x:c>
      <x:c r="M13" s="12" t="n">
        <x:f>IF(H13="Completed",I13*J13*(1-L13),0)</x:f>
        <x:v>1107.32</x:v>
      </x:c>
      <x:c r="N13" s="12" t="n">
        <x:f>IF(H13="Completed",I13*K13,0)</x:f>
        <x:v>695.88</x:v>
      </x:c>
      <x:c r="O13" s="12" t="n">
        <x:f>M13-N13</x:f>
        <x:v>411.43999999999994</x:v>
      </x:c>
      <x:c r="P13" s="16" t="n">
        <x:f>IFERROR(O13/M13,0)</x:f>
        <x:v>0.3715637756023552</x:v>
      </x:c>
      <x:c r="Q13" t="n">
        <x:f>YEAR(B13)</x:f>
        <x:v>2024</x:v>
      </x:c>
      <x:c r="R13" t="str">
        <x:f>TEXT(B13,"yyyy-mm")</x:f>
        <x:v>2024-01</x:v>
      </x:c>
    </x:row>
    <x:row r="14">
      <x:c r="A14" t="n">
        <x:v>10305</x:v>
      </x:c>
      <x:c r="B14" s="10" t="n">
        <x:v>45301</x:v>
      </x:c>
      <x:c r="C14" t="str">
        <x:v>P008</x:v>
      </x:c>
      <x:c r="D14" t="str">
        <x:v>Webcam</x:v>
      </x:c>
      <x:c r="E14" t="str">
        <x:v>Electronics</x:v>
      </x:c>
      <x:c r="F14" t="str">
        <x:v>North</x:v>
      </x:c>
      <x:c r="G14" t="str">
        <x:v>Online</x:v>
      </x:c>
      <x:c r="H14" t="str">
        <x:v>Cancelled</x:v>
      </x:c>
      <x:c r="I14" t="n">
        <x:v>2</x:v>
      </x:c>
      <x:c r="J14" s="12" t="n">
        <x:v>90.4</x:v>
      </x:c>
      <x:c r="K14" s="12" t="n">
        <x:v>42.02</x:v>
      </x:c>
      <x:c r="L14" s="14" t="n">
        <x:v>0.1</x:v>
      </x:c>
      <x:c r="M14" s="12" t="n">
        <x:f>IF(H14="Completed",I14*J14*(1-L14),0)</x:f>
        <x:v>0</x:v>
      </x:c>
      <x:c r="N14" s="12" t="n">
        <x:f>IF(H14="Completed",I14*K14,0)</x:f>
        <x:v>0</x:v>
      </x:c>
      <x:c r="O14" s="12" t="n">
        <x:f>M14-N14</x:f>
        <x:v>0</x:v>
      </x:c>
      <x:c r="P14" s="16" t="n">
        <x:f>IFERROR(O14/M14,0)</x:f>
        <x:v>0</x:v>
      </x:c>
      <x:c r="Q14" t="n">
        <x:f>YEAR(B14)</x:f>
        <x:v>2024</x:v>
      </x:c>
      <x:c r="R14" t="str">
        <x:f>TEXT(B14,"yyyy-mm")</x:f>
        <x:v>2024-01</x:v>
      </x:c>
    </x:row>
    <x:row r="15">
      <x:c r="A15" t="n">
        <x:v>10346</x:v>
      </x:c>
      <x:c r="B15" s="10" t="n">
        <x:v>45301</x:v>
      </x:c>
      <x:c r="C15" t="str">
        <x:v>P006</x:v>
      </x:c>
      <x:c r="D15" t="str">
        <x:v>Chair</x:v>
      </x:c>
      <x:c r="E15" t="str">
        <x:v>Furniture</x:v>
      </x:c>
      <x:c r="F15" t="str">
        <x:v>Scotland</x:v>
      </x:c>
      <x:c r="G15" t="str">
        <x:v>Online</x:v>
      </x:c>
      <x:c r="H15" t="str">
        <x:v>Completed</x:v>
      </x:c>
      <x:c r="I15" t="n">
        <x:v>1</x:v>
      </x:c>
      <x:c r="J15" s="12" t="n">
        <x:v>132.89</x:v>
      </x:c>
      <x:c r="K15" s="12" t="n">
        <x:v>69.98</x:v>
      </x:c>
      <x:c r="L15" s="14" t="n">
        <x:v>0</x:v>
      </x:c>
      <x:c r="M15" s="12" t="n">
        <x:f>IF(H15="Completed",I15*J15*(1-L15),0)</x:f>
        <x:v>132.89</x:v>
      </x:c>
      <x:c r="N15" s="12" t="n">
        <x:f>IF(H15="Completed",I15*K15,0)</x:f>
        <x:v>69.98</x:v>
      </x:c>
      <x:c r="O15" s="12" t="n">
        <x:f>M15-N15</x:f>
        <x:v>62.90999999999998</x:v>
      </x:c>
      <x:c r="P15" s="16" t="n">
        <x:f>IFERROR(O15/M15,0)</x:f>
        <x:v>0.4733990518473925</x:v>
      </x:c>
      <x:c r="Q15" t="n">
        <x:f>YEAR(B15)</x:f>
        <x:v>2024</x:v>
      </x:c>
      <x:c r="R15" t="str">
        <x:f>TEXT(B15,"yyyy-mm")</x:f>
        <x:v>2024-01</x:v>
      </x:c>
    </x:row>
    <x:row r="16">
      <x:c r="A16" t="n">
        <x:v>10560</x:v>
      </x:c>
      <x:c r="B16" s="10" t="n">
        <x:v>45301</x:v>
      </x:c>
      <x:c r="C16" t="str">
        <x:v>P001</x:v>
      </x:c>
      <x:c r="D16" t="str">
        <x:v>Laptop</x:v>
      </x:c>
      <x:c r="E16" t="str">
        <x:v>Electronics</x:v>
      </x:c>
      <x:c r="F16" t="str">
        <x:v>South</x:v>
      </x:c>
      <x:c r="G16" t="str">
        <x:v>Online</x:v>
      </x:c>
      <x:c r="H16" t="str">
        <x:v>Completed</x:v>
      </x:c>
      <x:c r="I16" t="n">
        <x:v>4</x:v>
      </x:c>
      <x:c r="J16" s="12" t="n">
        <x:v>902.56</x:v>
      </x:c>
      <x:c r="K16" s="12" t="n">
        <x:v>610.43</x:v>
      </x:c>
      <x:c r="L16" s="14" t="n">
        <x:v>0</x:v>
      </x:c>
      <x:c r="M16" s="12" t="n">
        <x:f>IF(H16="Completed",I16*J16*(1-L16),0)</x:f>
        <x:v>3610.24</x:v>
      </x:c>
      <x:c r="N16" s="12" t="n">
        <x:f>IF(H16="Completed",I16*K16,0)</x:f>
        <x:v>2441.72</x:v>
      </x:c>
      <x:c r="O16" s="12" t="n">
        <x:f>M16-N16</x:f>
        <x:v>1168.52</x:v>
      </x:c>
      <x:c r="P16" s="16" t="n">
        <x:f>IFERROR(O16/M16,0)</x:f>
        <x:v>0.3236682325828754</x:v>
      </x:c>
      <x:c r="Q16" t="n">
        <x:f>YEAR(B16)</x:f>
        <x:v>2024</x:v>
      </x:c>
      <x:c r="R16" t="str">
        <x:f>TEXT(B16,"yyyy-mm")</x:f>
        <x:v>2024-01</x:v>
      </x:c>
    </x:row>
    <x:row r="17">
      <x:c r="A17" t="n">
        <x:v>10934</x:v>
      </x:c>
      <x:c r="B17" s="10" t="n">
        <x:v>45302</x:v>
      </x:c>
      <x:c r="C17" t="str">
        <x:v>P002</x:v>
      </x:c>
      <x:c r="D17" t="str">
        <x:v>Monitor</x:v>
      </x:c>
      <x:c r="E17" t="str">
        <x:v>Electronics</x:v>
      </x:c>
      <x:c r="F17" t="str">
        <x:v>North</x:v>
      </x:c>
      <x:c r="G17" t="str">
        <x:v>Online</x:v>
      </x:c>
      <x:c r="H17" t="str">
        <x:v>Completed</x:v>
      </x:c>
      <x:c r="I17" t="n">
        <x:v>3</x:v>
      </x:c>
      <x:c r="J17" s="12" t="n">
        <x:v>280.33</x:v>
      </x:c>
      <x:c r="K17" s="12" t="n">
        <x:v>171.58</x:v>
      </x:c>
      <x:c r="L17" s="14" t="n">
        <x:v>0.05</x:v>
      </x:c>
      <x:c r="M17" s="12" t="n">
        <x:f>IF(H17="Completed",I17*J17*(1-L17),0)</x:f>
        <x:v>798.9404999999999</x:v>
      </x:c>
      <x:c r="N17" s="12" t="n">
        <x:f>IF(H17="Completed",I17*K17,0)</x:f>
        <x:v>514.74</x:v>
      </x:c>
      <x:c r="O17" s="12" t="n">
        <x:f>M17-N17</x:f>
        <x:v>284.2004999999999</x:v>
      </x:c>
      <x:c r="P17" s="16" t="n">
        <x:f>IFERROR(O17/M17,0)</x:f>
        <x:v>0.35572173397142837</x:v>
      </x:c>
      <x:c r="Q17" t="n">
        <x:f>YEAR(B17)</x:f>
        <x:v>2024</x:v>
      </x:c>
      <x:c r="R17" t="str">
        <x:f>TEXT(B17,"yyyy-mm")</x:f>
        <x:v>2024-01</x:v>
      </x:c>
    </x:row>
    <x:row r="18">
      <x:c r="A18" t="n">
        <x:v>10336</x:v>
      </x:c>
      <x:c r="B18" s="10" t="n">
        <x:v>45303</x:v>
      </x:c>
      <x:c r="C18" t="str">
        <x:v>P003</x:v>
      </x:c>
      <x:c r="D18" t="str">
        <x:v>Keyboard</x:v>
      </x:c>
      <x:c r="E18" t="str">
        <x:v>Accessories</x:v>
      </x:c>
      <x:c r="F18" t="str">
        <x:v>Wales</x:v>
      </x:c>
      <x:c r="G18" t="str">
        <x:v>Online</x:v>
      </x:c>
      <x:c r="H18" t="str">
        <x:v>Completed</x:v>
      </x:c>
      <x:c r="I18" t="n">
        <x:v>4</x:v>
      </x:c>
      <x:c r="J18" s="12" t="n">
        <x:v>48.81</x:v>
      </x:c>
      <x:c r="K18" s="12" t="n">
        <x:v>26.45</x:v>
      </x:c>
      <x:c r="L18" s="14" t="n">
        <x:v>0</x:v>
      </x:c>
      <x:c r="M18" s="12" t="n">
        <x:f>IF(H18="Completed",I18*J18*(1-L18),0)</x:f>
        <x:v>195.24</x:v>
      </x:c>
      <x:c r="N18" s="12" t="n">
        <x:f>IF(H18="Completed",I18*K18,0)</x:f>
        <x:v>105.8</x:v>
      </x:c>
      <x:c r="O18" s="12" t="n">
        <x:f>M18-N18</x:f>
        <x:v>89.44000000000001</x:v>
      </x:c>
      <x:c r="P18" s="16" t="n">
        <x:f>IFERROR(O18/M18,0)</x:f>
        <x:v>0.4581028477770949</x:v>
      </x:c>
      <x:c r="Q18" t="n">
        <x:f>YEAR(B18)</x:f>
        <x:v>2024</x:v>
      </x:c>
      <x:c r="R18" t="str">
        <x:f>TEXT(B18,"yyyy-mm")</x:f>
        <x:v>2024-01</x:v>
      </x:c>
    </x:row>
    <x:row r="19">
      <x:c r="A19" t="n">
        <x:v>10391</x:v>
      </x:c>
      <x:c r="B19" s="10" t="n">
        <x:v>45304</x:v>
      </x:c>
      <x:c r="C19" t="str">
        <x:v>P007</x:v>
      </x:c>
      <x:c r="D19" t="str">
        <x:v>Headset</x:v>
      </x:c>
      <x:c r="E19" t="str">
        <x:v>Accessories</x:v>
      </x:c>
      <x:c r="F19" t="str">
        <x:v>Midlands</x:v>
      </x:c>
      <x:c r="G19" t="str">
        <x:v>Online</x:v>
      </x:c>
      <x:c r="H19" t="str">
        <x:v>Cancelled</x:v>
      </x:c>
      <x:c r="I19" t="n">
        <x:v>1</x:v>
      </x:c>
      <x:c r="J19" s="12" t="n">
        <x:v>73.66</x:v>
      </x:c>
      <x:c r="K19" s="12" t="n">
        <x:v>35.94</x:v>
      </x:c>
      <x:c r="L19" s="14" t="n">
        <x:v>0.1</x:v>
      </x:c>
      <x:c r="M19" s="12" t="n">
        <x:f>IF(H19="Completed",I19*J19*(1-L19),0)</x:f>
        <x:v>0</x:v>
      </x:c>
      <x:c r="N19" s="12" t="n">
        <x:f>IF(H19="Completed",I19*K19,0)</x:f>
        <x:v>0</x:v>
      </x:c>
      <x:c r="O19" s="12" t="n">
        <x:f>M19-N19</x:f>
        <x:v>0</x:v>
      </x:c>
      <x:c r="P19" s="16" t="n">
        <x:f>IFERROR(O19/M19,0)</x:f>
        <x:v>0</x:v>
      </x:c>
      <x:c r="Q19" t="n">
        <x:f>YEAR(B19)</x:f>
        <x:v>2024</x:v>
      </x:c>
      <x:c r="R19" t="str">
        <x:f>TEXT(B19,"yyyy-mm")</x:f>
        <x:v>2024-01</x:v>
      </x:c>
    </x:row>
    <x:row r="20">
      <x:c r="A20" t="n">
        <x:v>10592</x:v>
      </x:c>
      <x:c r="B20" s="10" t="n">
        <x:v>45306</x:v>
      </x:c>
      <x:c r="C20" t="str">
        <x:v>P006</x:v>
      </x:c>
      <x:c r="D20" t="str">
        <x:v>Chair</x:v>
      </x:c>
      <x:c r="E20" t="str">
        <x:v>Furniture</x:v>
      </x:c>
      <x:c r="F20" t="str">
        <x:v>Midlands</x:v>
      </x:c>
      <x:c r="G20" t="str">
        <x:v>Online</x:v>
      </x:c>
      <x:c r="H20" t="str">
        <x:v>Completed</x:v>
      </x:c>
      <x:c r="I20" t="n">
        <x:v>1</x:v>
      </x:c>
      <x:c r="J20" s="12" t="n">
        <x:v>137.94</x:v>
      </x:c>
      <x:c r="K20" s="12" t="n">
        <x:v>67.36</x:v>
      </x:c>
      <x:c r="L20" s="14" t="n">
        <x:v>0</x:v>
      </x:c>
      <x:c r="M20" s="12" t="n">
        <x:f>IF(H20="Completed",I20*J20*(1-L20),0)</x:f>
        <x:v>137.94</x:v>
      </x:c>
      <x:c r="N20" s="12" t="n">
        <x:f>IF(H20="Completed",I20*K20,0)</x:f>
        <x:v>67.36</x:v>
      </x:c>
      <x:c r="O20" s="12" t="n">
        <x:f>M20-N20</x:f>
        <x:v>70.58</x:v>
      </x:c>
      <x:c r="P20" s="16" t="n">
        <x:f>IFERROR(O20/M20,0)</x:f>
        <x:v>0.5116717413368131</x:v>
      </x:c>
      <x:c r="Q20" t="n">
        <x:f>YEAR(B20)</x:f>
        <x:v>2024</x:v>
      </x:c>
      <x:c r="R20" t="str">
        <x:f>TEXT(B20,"yyyy-mm")</x:f>
        <x:v>2024-01</x:v>
      </x:c>
    </x:row>
    <x:row r="21">
      <x:c r="A21" t="n">
        <x:v>10026</x:v>
      </x:c>
      <x:c r="B21" s="10" t="n">
        <x:v>45307</x:v>
      </x:c>
      <x:c r="C21" t="str">
        <x:v>P002</x:v>
      </x:c>
      <x:c r="D21" t="str">
        <x:v>Monitor</x:v>
      </x:c>
      <x:c r="E21" t="str">
        <x:v>Electronics</x:v>
      </x:c>
      <x:c r="F21" t="str">
        <x:v>North</x:v>
      </x:c>
      <x:c r="G21" t="str">
        <x:v>Online</x:v>
      </x:c>
      <x:c r="H21" t="str">
        <x:v>Completed</x:v>
      </x:c>
      <x:c r="I21" t="n">
        <x:v>2</x:v>
      </x:c>
      <x:c r="J21" s="12" t="n">
        <x:v>294.45</x:v>
      </x:c>
      <x:c r="K21" s="12" t="n">
        <x:v>168</x:v>
      </x:c>
      <x:c r="L21" s="14" t="n">
        <x:v>0.05</x:v>
      </x:c>
      <x:c r="M21" s="12" t="n">
        <x:f>IF(H21="Completed",I21*J21*(1-L21),0)</x:f>
        <x:v>559.4549999999999</x:v>
      </x:c>
      <x:c r="N21" s="12" t="n">
        <x:f>IF(H21="Completed",I21*K21,0)</x:f>
        <x:v>336</x:v>
      </x:c>
      <x:c r="O21" s="12" t="n">
        <x:f>M21-N21</x:f>
        <x:v>223.45499999999993</x:v>
      </x:c>
      <x:c r="P21" s="16" t="n">
        <x:f>IFERROR(O21/M21,0)</x:f>
        <x:v>0.3994155025873394</x:v>
      </x:c>
      <x:c r="Q21" t="n">
        <x:f>YEAR(B21)</x:f>
        <x:v>2024</x:v>
      </x:c>
      <x:c r="R21" t="str">
        <x:f>TEXT(B21,"yyyy-mm")</x:f>
        <x:v>2024-01</x:v>
      </x:c>
    </x:row>
    <x:row r="22">
      <x:c r="A22" t="n">
        <x:v>10219</x:v>
      </x:c>
      <x:c r="B22" s="10" t="n">
        <x:v>45311</x:v>
      </x:c>
      <x:c r="C22" t="str">
        <x:v>P008</x:v>
      </x:c>
      <x:c r="D22" t="str">
        <x:v>Webcam</x:v>
      </x:c>
      <x:c r="E22" t="str">
        <x:v>Electronics</x:v>
      </x:c>
      <x:c r="F22" t="str">
        <x:v>Midlands</x:v>
      </x:c>
      <x:c r="G22" t="str">
        <x:v>Online</x:v>
      </x:c>
      <x:c r="H22" t="str">
        <x:v>Completed</x:v>
      </x:c>
      <x:c r="I22" t="n">
        <x:v>3</x:v>
      </x:c>
      <x:c r="J22" s="12" t="n">
        <x:v>89.46</x:v>
      </x:c>
      <x:c r="K22" s="12" t="n">
        <x:v>42.44</x:v>
      </x:c>
      <x:c r="L22" s="14" t="n">
        <x:v>0.05</x:v>
      </x:c>
      <x:c r="M22" s="12" t="n">
        <x:f>IF(H22="Completed",I22*J22*(1-L22),0)</x:f>
        <x:v>254.96099999999998</x:v>
      </x:c>
      <x:c r="N22" s="12" t="n">
        <x:f>IF(H22="Completed",I22*K22,0)</x:f>
        <x:v>127.32</x:v>
      </x:c>
      <x:c r="O22" s="12" t="n">
        <x:f>M22-N22</x:f>
        <x:v>127.64099999999999</x:v>
      </x:c>
      <x:c r="P22" s="16" t="n">
        <x:f>IFERROR(O22/M22,0)</x:f>
        <x:v>0.5006295080424065</x:v>
      </x:c>
      <x:c r="Q22" t="n">
        <x:f>YEAR(B22)</x:f>
        <x:v>2024</x:v>
      </x:c>
      <x:c r="R22" t="str">
        <x:f>TEXT(B22,"yyyy-mm")</x:f>
        <x:v>2024-01</x:v>
      </x:c>
    </x:row>
    <x:row r="23">
      <x:c r="A23" t="n">
        <x:v>10552</x:v>
      </x:c>
      <x:c r="B23" s="10" t="n">
        <x:v>45311</x:v>
      </x:c>
      <x:c r="C23" t="str">
        <x:v>P003</x:v>
      </x:c>
      <x:c r="D23" t="str">
        <x:v>Keyboard</x:v>
      </x:c>
      <x:c r="E23" t="str">
        <x:v>Accessories</x:v>
      </x:c>
      <x:c r="F23" t="str">
        <x:v>Wales</x:v>
      </x:c>
      <x:c r="G23" t="str">
        <x:v>Online</x:v>
      </x:c>
      <x:c r="H23" t="str">
        <x:v>Completed</x:v>
      </x:c>
      <x:c r="I23" t="n">
        <x:v>1</x:v>
      </x:c>
      <x:c r="J23" s="12" t="n">
        <x:v>48.45</x:v>
      </x:c>
      <x:c r="K23" s="12" t="n">
        <x:v>26.41</x:v>
      </x:c>
      <x:c r="L23" s="14" t="n">
        <x:v>0</x:v>
      </x:c>
      <x:c r="M23" s="12" t="n">
        <x:f>IF(H23="Completed",I23*J23*(1-L23),0)</x:f>
        <x:v>48.45</x:v>
      </x:c>
      <x:c r="N23" s="12" t="n">
        <x:f>IF(H23="Completed",I23*K23,0)</x:f>
        <x:v>26.41</x:v>
      </x:c>
      <x:c r="O23" s="12" t="n">
        <x:f>M23-N23</x:f>
        <x:v>22.040000000000003</x:v>
      </x:c>
      <x:c r="P23" s="16" t="n">
        <x:f>IFERROR(O23/M23,0)</x:f>
        <x:v>0.4549019607843138</x:v>
      </x:c>
      <x:c r="Q23" t="n">
        <x:f>YEAR(B23)</x:f>
        <x:v>2024</x:v>
      </x:c>
      <x:c r="R23" t="str">
        <x:f>TEXT(B23,"yyyy-mm")</x:f>
        <x:v>2024-01</x:v>
      </x:c>
    </x:row>
    <x:row r="24">
      <x:c r="A24" t="n">
        <x:v>10697</x:v>
      </x:c>
      <x:c r="B24" s="10" t="n">
        <x:v>45311</x:v>
      </x:c>
      <x:c r="C24" t="str">
        <x:v>P008</x:v>
      </x:c>
      <x:c r="D24" t="str">
        <x:v>Webcam</x:v>
      </x:c>
      <x:c r="E24" t="str">
        <x:v>Electronics</x:v>
      </x:c>
      <x:c r="F24" t="str">
        <x:v>Midlands</x:v>
      </x:c>
      <x:c r="G24" t="str">
        <x:v>Retail</x:v>
      </x:c>
      <x:c r="H24" t="str">
        <x:v>Completed</x:v>
      </x:c>
      <x:c r="I24" t="n">
        <x:v>1</x:v>
      </x:c>
      <x:c r="J24" s="12" t="n">
        <x:v>90.27</x:v>
      </x:c>
      <x:c r="K24" s="12" t="n">
        <x:v>43.06</x:v>
      </x:c>
      <x:c r="L24" s="14" t="n">
        <x:v>0</x:v>
      </x:c>
      <x:c r="M24" s="12" t="n">
        <x:f>IF(H24="Completed",I24*J24*(1-L24),0)</x:f>
        <x:v>90.27</x:v>
      </x:c>
      <x:c r="N24" s="12" t="n">
        <x:f>IF(H24="Completed",I24*K24,0)</x:f>
        <x:v>43.06</x:v>
      </x:c>
      <x:c r="O24" s="12" t="n">
        <x:f>M24-N24</x:f>
        <x:v>47.209999999999994</x:v>
      </x:c>
      <x:c r="P24" s="16" t="n">
        <x:f>IFERROR(O24/M24,0)</x:f>
        <x:v>0.5229865957682508</x:v>
      </x:c>
      <x:c r="Q24" t="n">
        <x:f>YEAR(B24)</x:f>
        <x:v>2024</x:v>
      </x:c>
      <x:c r="R24" t="str">
        <x:f>TEXT(B24,"yyyy-mm")</x:f>
        <x:v>2024-01</x:v>
      </x:c>
    </x:row>
    <x:row r="25">
      <x:c r="A25" t="n">
        <x:v>10642</x:v>
      </x:c>
      <x:c r="B25" s="10" t="n">
        <x:v>45315</x:v>
      </x:c>
      <x:c r="C25" t="str">
        <x:v>P005</x:v>
      </x:c>
      <x:c r="D25" t="str">
        <x:v>Desk</x:v>
      </x:c>
      <x:c r="E25" t="str">
        <x:v>Furniture</x:v>
      </x:c>
      <x:c r="F25" t="str">
        <x:v>Midlands</x:v>
      </x:c>
      <x:c r="G25" t="str">
        <x:v>Online</x:v>
      </x:c>
      <x:c r="H25" t="str">
        <x:v>Completed</x:v>
      </x:c>
      <x:c r="I25" t="n">
        <x:v>2</x:v>
      </x:c>
      <x:c r="J25" s="12" t="n">
        <x:v>272.89</x:v>
      </x:c>
      <x:c r="K25" s="12" t="n">
        <x:v>155.32</x:v>
      </x:c>
      <x:c r="L25" s="14" t="n">
        <x:v>0.1</x:v>
      </x:c>
      <x:c r="M25" s="12" t="n">
        <x:f>IF(H25="Completed",I25*J25*(1-L25),0)</x:f>
        <x:v>491.202</x:v>
      </x:c>
      <x:c r="N25" s="12" t="n">
        <x:f>IF(H25="Completed",I25*K25,0)</x:f>
        <x:v>310.64</x:v>
      </x:c>
      <x:c r="O25" s="12" t="n">
        <x:f>M25-N25</x:f>
        <x:v>180.562</x:v>
      </x:c>
      <x:c r="P25" s="16" t="n">
        <x:f>IFERROR(O25/M25,0)</x:f>
        <x:v>0.36759215149775454</x:v>
      </x:c>
      <x:c r="Q25" t="n">
        <x:f>YEAR(B25)</x:f>
        <x:v>2024</x:v>
      </x:c>
      <x:c r="R25" t="str">
        <x:f>TEXT(B25,"yyyy-mm")</x:f>
        <x:v>2024-01</x:v>
      </x:c>
    </x:row>
    <x:row r="26">
      <x:c r="A26" t="n">
        <x:v>10875</x:v>
      </x:c>
      <x:c r="B26" s="10" t="n">
        <x:v>45315</x:v>
      </x:c>
      <x:c r="C26" t="str">
        <x:v>P001</x:v>
      </x:c>
      <x:c r="D26" t="str">
        <x:v>Laptop</x:v>
      </x:c>
      <x:c r="E26" t="str">
        <x:v>Electronics</x:v>
      </x:c>
      <x:c r="F26" t="str">
        <x:v>Midlands</x:v>
      </x:c>
      <x:c r="G26" t="str">
        <x:v>Retail</x:v>
      </x:c>
      <x:c r="H26" t="str">
        <x:v>Completed</x:v>
      </x:c>
      <x:c r="I26" t="n">
        <x:v>3</x:v>
      </x:c>
      <x:c r="J26" s="12" t="n">
        <x:v>899.51</x:v>
      </x:c>
      <x:c r="K26" s="12" t="n">
        <x:v>609.46</x:v>
      </x:c>
      <x:c r="L26" s="14" t="n">
        <x:v>0.1</x:v>
      </x:c>
      <x:c r="M26" s="12" t="n">
        <x:f>IF(H26="Completed",I26*J26*(1-L26),0)</x:f>
        <x:v>2428.6769999999997</x:v>
      </x:c>
      <x:c r="N26" s="12" t="n">
        <x:f>IF(H26="Completed",I26*K26,0)</x:f>
        <x:v>1828.38</x:v>
      </x:c>
      <x:c r="O26" s="12" t="n">
        <x:f>M26-N26</x:f>
        <x:v>600.2969999999996</x:v>
      </x:c>
      <x:c r="P26" s="16" t="n">
        <x:f>IFERROR(O26/M26,0)</x:f>
        <x:v>0.24717037300554978</x:v>
      </x:c>
      <x:c r="Q26" t="n">
        <x:f>YEAR(B26)</x:f>
        <x:v>2024</x:v>
      </x:c>
      <x:c r="R26" t="str">
        <x:f>TEXT(B26,"yyyy-mm")</x:f>
        <x:v>2024-01</x:v>
      </x:c>
    </x:row>
    <x:row r="27">
      <x:c r="A27" t="n">
        <x:v>10894</x:v>
      </x:c>
      <x:c r="B27" s="10" t="n">
        <x:v>45315</x:v>
      </x:c>
      <x:c r="C27" t="str">
        <x:v>P006</x:v>
      </x:c>
      <x:c r="D27" t="str">
        <x:v>Chair</x:v>
      </x:c>
      <x:c r="E27" t="str">
        <x:v>Furniture</x:v>
      </x:c>
      <x:c r="F27" t="str">
        <x:v>North</x:v>
      </x:c>
      <x:c r="G27" t="str">
        <x:v>Online</x:v>
      </x:c>
      <x:c r="H27" t="str">
        <x:v>Cancelled</x:v>
      </x:c>
      <x:c r="I27" t="n">
        <x:v>4</x:v>
      </x:c>
      <x:c r="J27" s="12" t="n">
        <x:v>134.56</x:v>
      </x:c>
      <x:c r="K27" s="12" t="n">
        <x:v>66.95</x:v>
      </x:c>
      <x:c r="L27" s="14" t="n">
        <x:v>0</x:v>
      </x:c>
      <x:c r="M27" s="12" t="n">
        <x:f>IF(H27="Completed",I27*J27*(1-L27),0)</x:f>
        <x:v>0</x:v>
      </x:c>
      <x:c r="N27" s="12" t="n">
        <x:f>IF(H27="Completed",I27*K27,0)</x:f>
        <x:v>0</x:v>
      </x:c>
      <x:c r="O27" s="12" t="n">
        <x:f>M27-N27</x:f>
        <x:v>0</x:v>
      </x:c>
      <x:c r="P27" s="16" t="n">
        <x:f>IFERROR(O27/M27,0)</x:f>
        <x:v>0</x:v>
      </x:c>
      <x:c r="Q27" t="n">
        <x:f>YEAR(B27)</x:f>
        <x:v>2024</x:v>
      </x:c>
      <x:c r="R27" t="str">
        <x:f>TEXT(B27,"yyyy-mm")</x:f>
        <x:v>2024-01</x:v>
      </x:c>
    </x:row>
    <x:row r="28">
      <x:c r="A28" t="n">
        <x:v>10294</x:v>
      </x:c>
      <x:c r="B28" s="10" t="n">
        <x:v>45317</x:v>
      </x:c>
      <x:c r="C28" t="str">
        <x:v>P008</x:v>
      </x:c>
      <x:c r="D28" t="str">
        <x:v>Webcam</x:v>
      </x:c>
      <x:c r="E28" t="str">
        <x:v>Electronics</x:v>
      </x:c>
      <x:c r="F28" t="str">
        <x:v>Midlands</x:v>
      </x:c>
      <x:c r="G28" t="str">
        <x:v>Partner</x:v>
      </x:c>
      <x:c r="H28" t="str">
        <x:v>Completed</x:v>
      </x:c>
      <x:c r="I28" t="n">
        <x:v>1</x:v>
      </x:c>
      <x:c r="J28" s="12" t="n">
        <x:v>91.51</x:v>
      </x:c>
      <x:c r="K28" s="12" t="n">
        <x:v>42.69</x:v>
      </x:c>
      <x:c r="L28" s="14" t="n">
        <x:v>0</x:v>
      </x:c>
      <x:c r="M28" s="12" t="n">
        <x:f>IF(H28="Completed",I28*J28*(1-L28),0)</x:f>
        <x:v>91.51</x:v>
      </x:c>
      <x:c r="N28" s="12" t="n">
        <x:f>IF(H28="Completed",I28*K28,0)</x:f>
        <x:v>42.69</x:v>
      </x:c>
      <x:c r="O28" s="12" t="n">
        <x:f>M28-N28</x:f>
        <x:v>48.82000000000001</x:v>
      </x:c>
      <x:c r="P28" s="16" t="n">
        <x:f>IFERROR(O28/M28,0)</x:f>
        <x:v>0.5334936072560377</x:v>
      </x:c>
      <x:c r="Q28" t="n">
        <x:f>YEAR(B28)</x:f>
        <x:v>2024</x:v>
      </x:c>
      <x:c r="R28" t="str">
        <x:f>TEXT(B28,"yyyy-mm")</x:f>
        <x:v>2024-01</x:v>
      </x:c>
    </x:row>
    <x:row r="29">
      <x:c r="A29" t="n">
        <x:v>10694</x:v>
      </x:c>
      <x:c r="B29" s="10" t="n">
        <x:v>45317</x:v>
      </x:c>
      <x:c r="C29" t="str">
        <x:v>P004</x:v>
      </x:c>
      <x:c r="D29" t="str">
        <x:v>Mouse</x:v>
      </x:c>
      <x:c r="E29" t="str">
        <x:v>Accessories</x:v>
      </x:c>
      <x:c r="F29" t="str">
        <x:v>Midlands</x:v>
      </x:c>
      <x:c r="G29" t="str">
        <x:v>Retail</x:v>
      </x:c>
      <x:c r="H29" t="str">
        <x:v>Completed</x:v>
      </x:c>
      <x:c r="I29" t="n">
        <x:v>4</x:v>
      </x:c>
      <x:c r="J29" s="12" t="n">
        <x:v>27.2</x:v>
      </x:c>
      <x:c r="K29" s="12" t="n">
        <x:v>13.28</x:v>
      </x:c>
      <x:c r="L29" s="14" t="n">
        <x:v>0.05</x:v>
      </x:c>
      <x:c r="M29" s="12" t="n">
        <x:f>IF(H29="Completed",I29*J29*(1-L29),0)</x:f>
        <x:v>103.36</x:v>
      </x:c>
      <x:c r="N29" s="12" t="n">
        <x:f>IF(H29="Completed",I29*K29,0)</x:f>
        <x:v>53.12</x:v>
      </x:c>
      <x:c r="O29" s="12" t="n">
        <x:f>M29-N29</x:f>
        <x:v>50.24</x:v>
      </x:c>
      <x:c r="P29" s="16" t="n">
        <x:f>IFERROR(O29/M29,0)</x:f>
        <x:v>0.48606811145510836</x:v>
      </x:c>
      <x:c r="Q29" t="n">
        <x:f>YEAR(B29)</x:f>
        <x:v>2024</x:v>
      </x:c>
      <x:c r="R29" t="str">
        <x:f>TEXT(B29,"yyyy-mm")</x:f>
        <x:v>2024-01</x:v>
      </x:c>
    </x:row>
    <x:row r="30">
      <x:c r="A30" t="n">
        <x:v>10741</x:v>
      </x:c>
      <x:c r="B30" s="10" t="n">
        <x:v>45317</x:v>
      </x:c>
      <x:c r="C30" t="str">
        <x:v>P007</x:v>
      </x:c>
      <x:c r="D30" t="str">
        <x:v>Headset</x:v>
      </x:c>
      <x:c r="E30" t="str">
        <x:v>Accessories</x:v>
      </x:c>
      <x:c r="F30" t="str">
        <x:v>Midlands</x:v>
      </x:c>
      <x:c r="G30" t="str">
        <x:v>Online</x:v>
      </x:c>
      <x:c r="H30" t="str">
        <x:v>Completed</x:v>
      </x:c>
      <x:c r="I30" t="n">
        <x:v>2</x:v>
      </x:c>
      <x:c r="J30" s="12" t="n">
        <x:v>73.07</x:v>
      </x:c>
      <x:c r="K30" s="12" t="n">
        <x:v>35.32</x:v>
      </x:c>
      <x:c r="L30" s="14" t="n">
        <x:v>0.1</x:v>
      </x:c>
      <x:c r="M30" s="12" t="n">
        <x:f>IF(H30="Completed",I30*J30*(1-L30),0)</x:f>
        <x:v>131.52599999999998</x:v>
      </x:c>
      <x:c r="N30" s="12" t="n">
        <x:f>IF(H30="Completed",I30*K30,0)</x:f>
        <x:v>70.64</x:v>
      </x:c>
      <x:c r="O30" s="12" t="n">
        <x:f>M30-N30</x:f>
        <x:v>60.88599999999998</x:v>
      </x:c>
      <x:c r="P30" s="16" t="n">
        <x:f>IFERROR(O30/M30,0)</x:f>
        <x:v>0.46291987895929315</x:v>
      </x:c>
      <x:c r="Q30" t="n">
        <x:f>YEAR(B30)</x:f>
        <x:v>2024</x:v>
      </x:c>
      <x:c r="R30" t="str">
        <x:f>TEXT(B30,"yyyy-mm")</x:f>
        <x:v>2024-01</x:v>
      </x:c>
    </x:row>
    <x:row r="31">
      <x:c r="A31" t="n">
        <x:v>10784</x:v>
      </x:c>
      <x:c r="B31" s="10" t="n">
        <x:v>45319</x:v>
      </x:c>
      <x:c r="C31" t="str">
        <x:v>P006</x:v>
      </x:c>
      <x:c r="D31" t="str">
        <x:v>Chair</x:v>
      </x:c>
      <x:c r="E31" t="str">
        <x:v>Furniture</x:v>
      </x:c>
      <x:c r="F31" t="str">
        <x:v>North</x:v>
      </x:c>
      <x:c r="G31" t="str">
        <x:v>Online</x:v>
      </x:c>
      <x:c r="H31" t="str">
        <x:v>Completed</x:v>
      </x:c>
      <x:c r="I31" t="n">
        <x:v>4</x:v>
      </x:c>
      <x:c r="J31" s="12" t="n">
        <x:v>134.27</x:v>
      </x:c>
      <x:c r="K31" s="12" t="n">
        <x:v>68.89</x:v>
      </x:c>
      <x:c r="L31" s="14" t="n">
        <x:v>0.05</x:v>
      </x:c>
      <x:c r="M31" s="12" t="n">
        <x:f>IF(H31="Completed",I31*J31*(1-L31),0)</x:f>
        <x:v>510.226</x:v>
      </x:c>
      <x:c r="N31" s="12" t="n">
        <x:f>IF(H31="Completed",I31*K31,0)</x:f>
        <x:v>275.56</x:v>
      </x:c>
      <x:c r="O31" s="12" t="n">
        <x:f>M31-N31</x:f>
        <x:v>234.666</x:v>
      </x:c>
      <x:c r="P31" s="16" t="n">
        <x:f>IFERROR(O31/M31,0)</x:f>
        <x:v>0.4599256015961554</x:v>
      </x:c>
      <x:c r="Q31" t="n">
        <x:f>YEAR(B31)</x:f>
        <x:v>2024</x:v>
      </x:c>
      <x:c r="R31" t="str">
        <x:f>TEXT(B31,"yyyy-mm")</x:f>
        <x:v>2024-01</x:v>
      </x:c>
    </x:row>
    <x:row r="32">
      <x:c r="A32" t="n">
        <x:v>10849</x:v>
      </x:c>
      <x:c r="B32" s="10" t="n">
        <x:v>45319</x:v>
      </x:c>
      <x:c r="C32" t="str">
        <x:v>P004</x:v>
      </x:c>
      <x:c r="D32" t="str">
        <x:v>Mouse</x:v>
      </x:c>
      <x:c r="E32" t="str">
        <x:v>Accessories</x:v>
      </x:c>
      <x:c r="F32" t="str">
        <x:v>South</x:v>
      </x:c>
      <x:c r="G32" t="str">
        <x:v>Retail</x:v>
      </x:c>
      <x:c r="H32" t="str">
        <x:v>Completed</x:v>
      </x:c>
      <x:c r="I32" t="n">
        <x:v>4</x:v>
      </x:c>
      <x:c r="J32" s="12" t="n">
        <x:v>27.81</x:v>
      </x:c>
      <x:c r="K32" s="12" t="n">
        <x:v>13.09</x:v>
      </x:c>
      <x:c r="L32" s="14" t="n">
        <x:v>0.15</x:v>
      </x:c>
      <x:c r="M32" s="12" t="n">
        <x:f>IF(H32="Completed",I32*J32*(1-L32),0)</x:f>
        <x:v>94.55399999999999</x:v>
      </x:c>
      <x:c r="N32" s="12" t="n">
        <x:f>IF(H32="Completed",I32*K32,0)</x:f>
        <x:v>52.36</x:v>
      </x:c>
      <x:c r="O32" s="12" t="n">
        <x:f>M32-N32</x:f>
        <x:v>42.19399999999999</x:v>
      </x:c>
      <x:c r="P32" s="16" t="n">
        <x:f>IFERROR(O32/M32,0)</x:f>
        <x:v>0.44624235886371805</x:v>
      </x:c>
      <x:c r="Q32" t="n">
        <x:f>YEAR(B32)</x:f>
        <x:v>2024</x:v>
      </x:c>
      <x:c r="R32" t="str">
        <x:f>TEXT(B32,"yyyy-mm")</x:f>
        <x:v>2024-01</x:v>
      </x:c>
    </x:row>
    <x:row r="33">
      <x:c r="A33" t="n">
        <x:v>10075</x:v>
      </x:c>
      <x:c r="B33" s="10" t="n">
        <x:v>45321</x:v>
      </x:c>
      <x:c r="C33" t="str">
        <x:v>P008</x:v>
      </x:c>
      <x:c r="D33" t="str">
        <x:v>Webcam</x:v>
      </x:c>
      <x:c r="E33" t="str">
        <x:v>Electronics</x:v>
      </x:c>
      <x:c r="F33" t="str">
        <x:v>North</x:v>
      </x:c>
      <x:c r="G33" t="str">
        <x:v>Online</x:v>
      </x:c>
      <x:c r="H33" t="str">
        <x:v>Completed</x:v>
      </x:c>
      <x:c r="I33" t="n">
        <x:v>3</x:v>
      </x:c>
      <x:c r="J33" s="12" t="n">
        <x:v>88.07</x:v>
      </x:c>
      <x:c r="K33" s="12" t="n">
        <x:v>42.41</x:v>
      </x:c>
      <x:c r="L33" s="14" t="n">
        <x:v>0</x:v>
      </x:c>
      <x:c r="M33" s="12" t="n">
        <x:f>IF(H33="Completed",I33*J33*(1-L33),0)</x:f>
        <x:v>264.21</x:v>
      </x:c>
      <x:c r="N33" s="12" t="n">
        <x:f>IF(H33="Completed",I33*K33,0)</x:f>
        <x:v>127.22999999999999</x:v>
      </x:c>
      <x:c r="O33" s="12" t="n">
        <x:f>M33-N33</x:f>
        <x:v>136.98</x:v>
      </x:c>
      <x:c r="P33" s="16" t="n">
        <x:f>IFERROR(O33/M33,0)</x:f>
        <x:v>0.5184512319745657</x:v>
      </x:c>
      <x:c r="Q33" t="n">
        <x:f>YEAR(B33)</x:f>
        <x:v>2024</x:v>
      </x:c>
      <x:c r="R33" t="str">
        <x:f>TEXT(B33,"yyyy-mm")</x:f>
        <x:v>2024-01</x:v>
      </x:c>
    </x:row>
    <x:row r="34">
      <x:c r="A34" t="n">
        <x:v>10819</x:v>
      </x:c>
      <x:c r="B34" s="10" t="n">
        <x:v>45321</x:v>
      </x:c>
      <x:c r="C34" t="str">
        <x:v>P005</x:v>
      </x:c>
      <x:c r="D34" t="str">
        <x:v>Desk</x:v>
      </x:c>
      <x:c r="E34" t="str">
        <x:v>Furniture</x:v>
      </x:c>
      <x:c r="F34" t="str">
        <x:v>North</x:v>
      </x:c>
      <x:c r="G34" t="str">
        <x:v>Online</x:v>
      </x:c>
      <x:c r="H34" t="str">
        <x:v>Completed</x:v>
      </x:c>
      <x:c r="I34" t="n">
        <x:v>3</x:v>
      </x:c>
      <x:c r="J34" s="12" t="n">
        <x:v>277.97</x:v>
      </x:c>
      <x:c r="K34" s="12" t="n">
        <x:v>156.92</x:v>
      </x:c>
      <x:c r="L34" s="14" t="n">
        <x:v>0</x:v>
      </x:c>
      <x:c r="M34" s="12" t="n">
        <x:f>IF(H34="Completed",I34*J34*(1-L34),0)</x:f>
        <x:v>833.9100000000001</x:v>
      </x:c>
      <x:c r="N34" s="12" t="n">
        <x:f>IF(H34="Completed",I34*K34,0)</x:f>
        <x:v>470.76</x:v>
      </x:c>
      <x:c r="O34" s="12" t="n">
        <x:f>M34-N34</x:f>
        <x:v>363.1500000000001</x:v>
      </x:c>
      <x:c r="P34" s="16" t="n">
        <x:f>IFERROR(O34/M34,0)</x:f>
        <x:v>0.4354786487750477</x:v>
      </x:c>
      <x:c r="Q34" t="n">
        <x:f>YEAR(B34)</x:f>
        <x:v>2024</x:v>
      </x:c>
      <x:c r="R34" t="str">
        <x:f>TEXT(B34,"yyyy-mm")</x:f>
        <x:v>2024-01</x:v>
      </x:c>
    </x:row>
    <x:row r="35">
      <x:c r="A35" t="n">
        <x:v>10276</x:v>
      </x:c>
      <x:c r="B35" s="10" t="n">
        <x:v>45322</x:v>
      </x:c>
      <x:c r="C35" t="str">
        <x:v>P005</x:v>
      </x:c>
      <x:c r="D35" t="str">
        <x:v>Desk</x:v>
      </x:c>
      <x:c r="E35" t="str">
        <x:v>Furniture</x:v>
      </x:c>
      <x:c r="F35" t="str">
        <x:v>South</x:v>
      </x:c>
      <x:c r="G35" t="str">
        <x:v>Online</x:v>
      </x:c>
      <x:c r="H35" t="str">
        <x:v>Completed</x:v>
      </x:c>
      <x:c r="I35" t="n">
        <x:v>4</x:v>
      </x:c>
      <x:c r="J35" s="12" t="n">
        <x:v>270.33</x:v>
      </x:c>
      <x:c r="K35" s="12" t="n">
        <x:v>156.44</x:v>
      </x:c>
      <x:c r="L35" s="14" t="n">
        <x:v>0.05</x:v>
      </x:c>
      <x:c r="M35" s="12" t="n">
        <x:f>IF(H35="Completed",I35*J35*(1-L35),0)</x:f>
        <x:v>1027.254</x:v>
      </x:c>
      <x:c r="N35" s="12" t="n">
        <x:f>IF(H35="Completed",I35*K35,0)</x:f>
        <x:v>625.76</x:v>
      </x:c>
      <x:c r="O35" s="12" t="n">
        <x:f>M35-N35</x:f>
        <x:v>401.4939999999999</x:v>
      </x:c>
      <x:c r="P35" s="16" t="n">
        <x:f>IFERROR(O35/M35,0)</x:f>
        <x:v>0.3908419923407453</x:v>
      </x:c>
      <x:c r="Q35" t="n">
        <x:f>YEAR(B35)</x:f>
        <x:v>2024</x:v>
      </x:c>
      <x:c r="R35" t="str">
        <x:f>TEXT(B35,"yyyy-mm")</x:f>
        <x:v>2024-01</x:v>
      </x:c>
    </x:row>
    <x:row r="36">
      <x:c r="A36" t="n">
        <x:v>10359</x:v>
      </x:c>
      <x:c r="B36" s="10" t="n">
        <x:v>45322</x:v>
      </x:c>
      <x:c r="C36" t="str">
        <x:v>P007</x:v>
      </x:c>
      <x:c r="D36" t="str">
        <x:v>Headset</x:v>
      </x:c>
      <x:c r="E36" t="str">
        <x:v>Accessories</x:v>
      </x:c>
      <x:c r="F36" t="str">
        <x:v>North</x:v>
      </x:c>
      <x:c r="G36" t="str">
        <x:v>Online</x:v>
      </x:c>
      <x:c r="H36" t="str">
        <x:v>Completed</x:v>
      </x:c>
      <x:c r="I36" t="n">
        <x:v>4</x:v>
      </x:c>
      <x:c r="J36" s="12" t="n">
        <x:v>71.25</x:v>
      </x:c>
      <x:c r="K36" s="12" t="n">
        <x:v>35.85</x:v>
      </x:c>
      <x:c r="L36" s="14" t="n">
        <x:v>0</x:v>
      </x:c>
      <x:c r="M36" s="12" t="n">
        <x:f>IF(H36="Completed",I36*J36*(1-L36),0)</x:f>
        <x:v>285</x:v>
      </x:c>
      <x:c r="N36" s="12" t="n">
        <x:f>IF(H36="Completed",I36*K36,0)</x:f>
        <x:v>143.4</x:v>
      </x:c>
      <x:c r="O36" s="12" t="n">
        <x:f>M36-N36</x:f>
        <x:v>141.6</x:v>
      </x:c>
      <x:c r="P36" s="16" t="n">
        <x:f>IFERROR(O36/M36,0)</x:f>
        <x:v>0.49684210526315786</x:v>
      </x:c>
      <x:c r="Q36" t="n">
        <x:f>YEAR(B36)</x:f>
        <x:v>2024</x:v>
      </x:c>
      <x:c r="R36" t="str">
        <x:f>TEXT(B36,"yyyy-mm")</x:f>
        <x:v>2024-01</x:v>
      </x:c>
    </x:row>
    <x:row r="37">
      <x:c r="A37" t="n">
        <x:v>10189</x:v>
      </x:c>
      <x:c r="B37" s="10" t="n">
        <x:v>45323</x:v>
      </x:c>
      <x:c r="C37" t="str">
        <x:v>P003</x:v>
      </x:c>
      <x:c r="D37" t="str">
        <x:v>Keyboard</x:v>
      </x:c>
      <x:c r="E37" t="str">
        <x:v>Accessories</x:v>
      </x:c>
      <x:c r="F37" t="str">
        <x:v>North</x:v>
      </x:c>
      <x:c r="G37" t="str">
        <x:v>Online</x:v>
      </x:c>
      <x:c r="H37" t="str">
        <x:v>Completed</x:v>
      </x:c>
      <x:c r="I37" t="n">
        <x:v>4</x:v>
      </x:c>
      <x:c r="J37" s="12" t="n">
        <x:v>48.84</x:v>
      </x:c>
      <x:c r="K37" s="12" t="n">
        <x:v>26.22</x:v>
      </x:c>
      <x:c r="L37" s="14" t="n">
        <x:v>0</x:v>
      </x:c>
      <x:c r="M37" s="12" t="n">
        <x:f>IF(H37="Completed",I37*J37*(1-L37),0)</x:f>
        <x:v>195.36</x:v>
      </x:c>
      <x:c r="N37" s="12" t="n">
        <x:f>IF(H37="Completed",I37*K37,0)</x:f>
        <x:v>104.88</x:v>
      </x:c>
      <x:c r="O37" s="12" t="n">
        <x:f>M37-N37</x:f>
        <x:v>90.48000000000002</x:v>
      </x:c>
      <x:c r="P37" s="16" t="n">
        <x:f>IFERROR(O37/M37,0)</x:f>
        <x:v>0.46314496314496323</x:v>
      </x:c>
      <x:c r="Q37" t="n">
        <x:f>YEAR(B37)</x:f>
        <x:v>2024</x:v>
      </x:c>
      <x:c r="R37" t="str">
        <x:f>TEXT(B37,"yyyy-mm")</x:f>
        <x:v>2024-02</x:v>
      </x:c>
    </x:row>
    <x:row r="38">
      <x:c r="A38" t="n">
        <x:v>10270</x:v>
      </x:c>
      <x:c r="B38" s="10" t="n">
        <x:v>45324</x:v>
      </x:c>
      <x:c r="C38" t="str">
        <x:v>P002</x:v>
      </x:c>
      <x:c r="D38" t="str">
        <x:v>Monitor</x:v>
      </x:c>
      <x:c r="E38" t="str">
        <x:v>Electronics</x:v>
      </x:c>
      <x:c r="F38" t="str">
        <x:v>Midlands</x:v>
      </x:c>
      <x:c r="G38" t="str">
        <x:v>Retail</x:v>
      </x:c>
      <x:c r="H38" t="str">
        <x:v>Completed</x:v>
      </x:c>
      <x:c r="I38" t="n">
        <x:v>4</x:v>
      </x:c>
      <x:c r="J38" s="12" t="n">
        <x:v>276.64</x:v>
      </x:c>
      <x:c r="K38" s="12" t="n">
        <x:v>168.06</x:v>
      </x:c>
      <x:c r="L38" s="14" t="n">
        <x:v>0.15</x:v>
      </x:c>
      <x:c r="M38" s="12" t="n">
        <x:f>IF(H38="Completed",I38*J38*(1-L38),0)</x:f>
        <x:v>940.5759999999999</x:v>
      </x:c>
      <x:c r="N38" s="12" t="n">
        <x:f>IF(H38="Completed",I38*K38,0)</x:f>
        <x:v>672.24</x:v>
      </x:c>
      <x:c r="O38" s="12" t="n">
        <x:f>M38-N38</x:f>
        <x:v>268.3359999999999</x:v>
      </x:c>
      <x:c r="P38" s="16" t="n">
        <x:f>IFERROR(O38/M38,0)</x:f>
        <x:v>0.2852890143911815</x:v>
      </x:c>
      <x:c r="Q38" t="n">
        <x:f>YEAR(B38)</x:f>
        <x:v>2024</x:v>
      </x:c>
      <x:c r="R38" t="str">
        <x:f>TEXT(B38,"yyyy-mm")</x:f>
        <x:v>2024-02</x:v>
      </x:c>
    </x:row>
    <x:row r="39">
      <x:c r="A39" t="n">
        <x:v>10922</x:v>
      </x:c>
      <x:c r="B39" s="10" t="n">
        <x:v>45326</x:v>
      </x:c>
      <x:c r="C39" t="str">
        <x:v>P007</x:v>
      </x:c>
      <x:c r="D39" t="str">
        <x:v>Headset</x:v>
      </x:c>
      <x:c r="E39" t="str">
        <x:v>Accessories</x:v>
      </x:c>
      <x:c r="F39" t="str">
        <x:v>Wales</x:v>
      </x:c>
      <x:c r="G39" t="str">
        <x:v>Retail</x:v>
      </x:c>
      <x:c r="H39" t="str">
        <x:v>Completed</x:v>
      </x:c>
      <x:c r="I39" t="n">
        <x:v>3</x:v>
      </x:c>
      <x:c r="J39" s="12" t="n">
        <x:v>74.47</x:v>
      </x:c>
      <x:c r="K39" s="12" t="n">
        <x:v>35.07</x:v>
      </x:c>
      <x:c r="L39" s="14" t="n">
        <x:v>0</x:v>
      </x:c>
      <x:c r="M39" s="12" t="n">
        <x:f>IF(H39="Completed",I39*J39*(1-L39),0)</x:f>
        <x:v>223.41</x:v>
      </x:c>
      <x:c r="N39" s="12" t="n">
        <x:f>IF(H39="Completed",I39*K39,0)</x:f>
        <x:v>105.21000000000001</x:v>
      </x:c>
      <x:c r="O39" s="12" t="n">
        <x:f>M39-N39</x:f>
        <x:v>118.19999999999999</x:v>
      </x:c>
      <x:c r="P39" s="16" t="n">
        <x:f>IFERROR(O39/M39,0)</x:f>
        <x:v>0.5290721095743252</x:v>
      </x:c>
      <x:c r="Q39" t="n">
        <x:f>YEAR(B39)</x:f>
        <x:v>2024</x:v>
      </x:c>
      <x:c r="R39" t="str">
        <x:f>TEXT(B39,"yyyy-mm")</x:f>
        <x:v>2024-02</x:v>
      </x:c>
    </x:row>
    <x:row r="40">
      <x:c r="A40" t="n">
        <x:v>10360</x:v>
      </x:c>
      <x:c r="B40" s="10" t="n">
        <x:v>45327</x:v>
      </x:c>
      <x:c r="C40" t="str">
        <x:v>P004</x:v>
      </x:c>
      <x:c r="D40" t="str">
        <x:v>Mouse</x:v>
      </x:c>
      <x:c r="E40" t="str">
        <x:v>Accessories</x:v>
      </x:c>
      <x:c r="F40" t="str">
        <x:v>South</x:v>
      </x:c>
      <x:c r="G40" t="str">
        <x:v>Partner</x:v>
      </x:c>
      <x:c r="H40" t="str">
        <x:v>Completed</x:v>
      </x:c>
      <x:c r="I40" t="n">
        <x:v>3</x:v>
      </x:c>
      <x:c r="J40" s="12" t="n">
        <x:v>26.36</x:v>
      </x:c>
      <x:c r="K40" s="12" t="n">
        <x:v>12.99</x:v>
      </x:c>
      <x:c r="L40" s="14" t="n">
        <x:v>0</x:v>
      </x:c>
      <x:c r="M40" s="12" t="n">
        <x:f>IF(H40="Completed",I40*J40*(1-L40),0)</x:f>
        <x:v>79.08</x:v>
      </x:c>
      <x:c r="N40" s="12" t="n">
        <x:f>IF(H40="Completed",I40*K40,0)</x:f>
        <x:v>38.97</x:v>
      </x:c>
      <x:c r="O40" s="12" t="n">
        <x:f>M40-N40</x:f>
        <x:v>40.11</x:v>
      </x:c>
      <x:c r="P40" s="16" t="n">
        <x:f>IFERROR(O40/M40,0)</x:f>
        <x:v>0.5072078907435509</x:v>
      </x:c>
      <x:c r="Q40" t="n">
        <x:f>YEAR(B40)</x:f>
        <x:v>2024</x:v>
      </x:c>
      <x:c r="R40" t="str">
        <x:f>TEXT(B40,"yyyy-mm")</x:f>
        <x:v>2024-02</x:v>
      </x:c>
    </x:row>
    <x:row r="41">
      <x:c r="A41" t="n">
        <x:v>10805</x:v>
      </x:c>
      <x:c r="B41" s="10" t="n">
        <x:v>45327</x:v>
      </x:c>
      <x:c r="C41" t="str">
        <x:v>P001</x:v>
      </x:c>
      <x:c r="D41" t="str">
        <x:v>Laptop</x:v>
      </x:c>
      <x:c r="E41" t="str">
        <x:v>Electronics</x:v>
      </x:c>
      <x:c r="F41" t="str">
        <x:v>Midlands</x:v>
      </x:c>
      <x:c r="G41" t="str">
        <x:v>Online</x:v>
      </x:c>
      <x:c r="H41" t="str">
        <x:v>Completed</x:v>
      </x:c>
      <x:c r="I41" t="n">
        <x:v>2</x:v>
      </x:c>
      <x:c r="J41" s="12" t="n">
        <x:v>900.26</x:v>
      </x:c>
      <x:c r="K41" s="12" t="n">
        <x:v>634.48</x:v>
      </x:c>
      <x:c r="L41" s="14" t="n">
        <x:v>0.15</x:v>
      </x:c>
      <x:c r="M41" s="12" t="n">
        <x:f>IF(H41="Completed",I41*J41*(1-L41),0)</x:f>
        <x:v>1530.442</x:v>
      </x:c>
      <x:c r="N41" s="12" t="n">
        <x:f>IF(H41="Completed",I41*K41,0)</x:f>
        <x:v>1268.96</x:v>
      </x:c>
      <x:c r="O41" s="12" t="n">
        <x:f>M41-N41</x:f>
        <x:v>261.48199999999997</x:v>
      </x:c>
      <x:c r="P41" s="16" t="n">
        <x:f>IFERROR(O41/M41,0)</x:f>
        <x:v>0.17085391017758267</x:v>
      </x:c>
      <x:c r="Q41" t="n">
        <x:f>YEAR(B41)</x:f>
        <x:v>2024</x:v>
      </x:c>
      <x:c r="R41" t="str">
        <x:f>TEXT(B41,"yyyy-mm")</x:f>
        <x:v>2024-02</x:v>
      </x:c>
    </x:row>
    <x:row r="42">
      <x:c r="A42" t="n">
        <x:v>10514</x:v>
      </x:c>
      <x:c r="B42" s="10" t="n">
        <x:v>45328</x:v>
      </x:c>
      <x:c r="C42" t="str">
        <x:v>P006</x:v>
      </x:c>
      <x:c r="D42" t="str">
        <x:v>Chair</x:v>
      </x:c>
      <x:c r="E42" t="str">
        <x:v>Furniture</x:v>
      </x:c>
      <x:c r="F42" t="str">
        <x:v>South</x:v>
      </x:c>
      <x:c r="G42" t="str">
        <x:v>Partner</x:v>
      </x:c>
      <x:c r="H42" t="str">
        <x:v>Completed</x:v>
      </x:c>
      <x:c r="I42" t="n">
        <x:v>2</x:v>
      </x:c>
      <x:c r="J42" s="12" t="n">
        <x:v>138.32</x:v>
      </x:c>
      <x:c r="K42" s="12" t="n">
        <x:v>67.84</x:v>
      </x:c>
      <x:c r="L42" s="14" t="n">
        <x:v>0</x:v>
      </x:c>
      <x:c r="M42" s="12" t="n">
        <x:f>IF(H42="Completed",I42*J42*(1-L42),0)</x:f>
        <x:v>276.64</x:v>
      </x:c>
      <x:c r="N42" s="12" t="n">
        <x:f>IF(H42="Completed",I42*K42,0)</x:f>
        <x:v>135.68</x:v>
      </x:c>
      <x:c r="O42" s="12" t="n">
        <x:f>M42-N42</x:f>
        <x:v>140.95999999999998</x:v>
      </x:c>
      <x:c r="P42" s="16" t="n">
        <x:f>IFERROR(O42/M42,0)</x:f>
        <x:v>0.5095430884904568</x:v>
      </x:c>
      <x:c r="Q42" t="n">
        <x:f>YEAR(B42)</x:f>
        <x:v>2024</x:v>
      </x:c>
      <x:c r="R42" t="str">
        <x:f>TEXT(B42,"yyyy-mm")</x:f>
        <x:v>2024-02</x:v>
      </x:c>
    </x:row>
    <x:row r="43">
      <x:c r="A43" t="n">
        <x:v>10046</x:v>
      </x:c>
      <x:c r="B43" s="10" t="n">
        <x:v>45331</x:v>
      </x:c>
      <x:c r="C43" t="str">
        <x:v>P002</x:v>
      </x:c>
      <x:c r="D43" t="str">
        <x:v>Monitor</x:v>
      </x:c>
      <x:c r="E43" t="str">
        <x:v>Electronics</x:v>
      </x:c>
      <x:c r="F43" t="str">
        <x:v>Midlands</x:v>
      </x:c>
      <x:c r="G43" t="str">
        <x:v>Retail</x:v>
      </x:c>
      <x:c r="H43" t="str">
        <x:v>Completed</x:v>
      </x:c>
      <x:c r="I43" t="n">
        <x:v>4</x:v>
      </x:c>
      <x:c r="J43" s="12" t="n">
        <x:v>296.09</x:v>
      </x:c>
      <x:c r="K43" s="12" t="n">
        <x:v>167.58</x:v>
      </x:c>
      <x:c r="L43" s="14" t="n">
        <x:v>0.1</x:v>
      </x:c>
      <x:c r="M43" s="12" t="n">
        <x:f>IF(H43="Completed",I43*J43*(1-L43),0)</x:f>
        <x:v>1065.924</x:v>
      </x:c>
      <x:c r="N43" s="12" t="n">
        <x:f>IF(H43="Completed",I43*K43,0)</x:f>
        <x:v>670.32</x:v>
      </x:c>
      <x:c r="O43" s="12" t="n">
        <x:f>M43-N43</x:f>
        <x:v>395.6039999999999</x:v>
      </x:c>
      <x:c r="P43" s="16" t="n">
        <x:f>IFERROR(O43/M43,0)</x:f>
        <x:v>0.3711371542436421</x:v>
      </x:c>
      <x:c r="Q43" t="n">
        <x:f>YEAR(B43)</x:f>
        <x:v>2024</x:v>
      </x:c>
      <x:c r="R43" t="str">
        <x:f>TEXT(B43,"yyyy-mm")</x:f>
        <x:v>2024-02</x:v>
      </x:c>
    </x:row>
    <x:row r="44">
      <x:c r="A44" t="n">
        <x:v>10117</x:v>
      </x:c>
      <x:c r="B44" s="10" t="n">
        <x:v>45332</x:v>
      </x:c>
      <x:c r="C44" t="str">
        <x:v>P005</x:v>
      </x:c>
      <x:c r="D44" t="str">
        <x:v>Desk</x:v>
      </x:c>
      <x:c r="E44" t="str">
        <x:v>Furniture</x:v>
      </x:c>
      <x:c r="F44" t="str">
        <x:v>North</x:v>
      </x:c>
      <x:c r="G44" t="str">
        <x:v>Online</x:v>
      </x:c>
      <x:c r="H44" t="str">
        <x:v>Completed</x:v>
      </x:c>
      <x:c r="I44" t="n">
        <x:v>4</x:v>
      </x:c>
      <x:c r="J44" s="12" t="n">
        <x:v>284.26</x:v>
      </x:c>
      <x:c r="K44" s="12" t="n">
        <x:v>154.43</x:v>
      </x:c>
      <x:c r="L44" s="14" t="n">
        <x:v>0</x:v>
      </x:c>
      <x:c r="M44" s="12" t="n">
        <x:f>IF(H44="Completed",I44*J44*(1-L44),0)</x:f>
        <x:v>1137.04</x:v>
      </x:c>
      <x:c r="N44" s="12" t="n">
        <x:f>IF(H44="Completed",I44*K44,0)</x:f>
        <x:v>617.72</x:v>
      </x:c>
      <x:c r="O44" s="12" t="n">
        <x:f>M44-N44</x:f>
        <x:v>519.3199999999999</x:v>
      </x:c>
      <x:c r="P44" s="16" t="n">
        <x:f>IFERROR(O44/M44,0)</x:f>
        <x:v>0.45672975445015124</x:v>
      </x:c>
      <x:c r="Q44" t="n">
        <x:f>YEAR(B44)</x:f>
        <x:v>2024</x:v>
      </x:c>
      <x:c r="R44" t="str">
        <x:f>TEXT(B44,"yyyy-mm")</x:f>
        <x:v>2024-02</x:v>
      </x:c>
    </x:row>
    <x:row r="45">
      <x:c r="A45" t="n">
        <x:v>10563</x:v>
      </x:c>
      <x:c r="B45" s="10" t="n">
        <x:v>45332</x:v>
      </x:c>
      <x:c r="C45" t="str">
        <x:v>P008</x:v>
      </x:c>
      <x:c r="D45" t="str">
        <x:v>Webcam</x:v>
      </x:c>
      <x:c r="E45" t="str">
        <x:v>Electronics</x:v>
      </x:c>
      <x:c r="F45" t="str">
        <x:v>South</x:v>
      </x:c>
      <x:c r="G45" t="str">
        <x:v>Online</x:v>
      </x:c>
      <x:c r="H45" t="str">
        <x:v>Completed</x:v>
      </x:c>
      <x:c r="I45" t="n">
        <x:v>4</x:v>
      </x:c>
      <x:c r="J45" s="12" t="n">
        <x:v>89.86</x:v>
      </x:c>
      <x:c r="K45" s="12" t="n">
        <x:v>42.3</x:v>
      </x:c>
      <x:c r="L45" s="14" t="n">
        <x:v>0</x:v>
      </x:c>
      <x:c r="M45" s="12" t="n">
        <x:f>IF(H45="Completed",I45*J45*(1-L45),0)</x:f>
        <x:v>359.44</x:v>
      </x:c>
      <x:c r="N45" s="12" t="n">
        <x:f>IF(H45="Completed",I45*K45,0)</x:f>
        <x:v>169.2</x:v>
      </x:c>
      <x:c r="O45" s="12" t="n">
        <x:f>M45-N45</x:f>
        <x:v>190.24</x:v>
      </x:c>
      <x:c r="P45" s="16" t="n">
        <x:f>IFERROR(O45/M45,0)</x:f>
        <x:v>0.5292677498330737</x:v>
      </x:c>
      <x:c r="Q45" t="n">
        <x:f>YEAR(B45)</x:f>
        <x:v>2024</x:v>
      </x:c>
      <x:c r="R45" t="str">
        <x:f>TEXT(B45,"yyyy-mm")</x:f>
        <x:v>2024-02</x:v>
      </x:c>
    </x:row>
    <x:row r="46">
      <x:c r="A46" t="n">
        <x:v>10828</x:v>
      </x:c>
      <x:c r="B46" s="10" t="n">
        <x:v>45333</x:v>
      </x:c>
      <x:c r="C46" t="str">
        <x:v>P008</x:v>
      </x:c>
      <x:c r="D46" t="str">
        <x:v>Webcam</x:v>
      </x:c>
      <x:c r="E46" t="str">
        <x:v>Electronics</x:v>
      </x:c>
      <x:c r="F46" t="str">
        <x:v>Wales</x:v>
      </x:c>
      <x:c r="G46" t="str">
        <x:v>Retail</x:v>
      </x:c>
      <x:c r="H46" t="str">
        <x:v>Completed</x:v>
      </x:c>
      <x:c r="I46" t="n">
        <x:v>3</x:v>
      </x:c>
      <x:c r="J46" s="12" t="n">
        <x:v>87.03</x:v>
      </x:c>
      <x:c r="K46" s="12" t="n">
        <x:v>42.67</x:v>
      </x:c>
      <x:c r="L46" s="14" t="n">
        <x:v>0.05</x:v>
      </x:c>
      <x:c r="M46" s="12" t="n">
        <x:f>IF(H46="Completed",I46*J46*(1-L46),0)</x:f>
        <x:v>248.0355</x:v>
      </x:c>
      <x:c r="N46" s="12" t="n">
        <x:f>IF(H46="Completed",I46*K46,0)</x:f>
        <x:v>128.01</x:v>
      </x:c>
      <x:c r="O46" s="12" t="n">
        <x:f>M46-N46</x:f>
        <x:v>120.02550000000002</x:v>
      </x:c>
      <x:c r="P46" s="16" t="n">
        <x:f>IFERROR(O46/M46,0)</x:f>
        <x:v>0.4839045217317683</x:v>
      </x:c>
      <x:c r="Q46" t="n">
        <x:f>YEAR(B46)</x:f>
        <x:v>2024</x:v>
      </x:c>
      <x:c r="R46" t="str">
        <x:f>TEXT(B46,"yyyy-mm")</x:f>
        <x:v>2024-02</x:v>
      </x:c>
    </x:row>
    <x:row r="47">
      <x:c r="A47" t="n">
        <x:v>10594</x:v>
      </x:c>
      <x:c r="B47" s="10" t="n">
        <x:v>45336</x:v>
      </x:c>
      <x:c r="C47" t="str">
        <x:v>P005</x:v>
      </x:c>
      <x:c r="D47" t="str">
        <x:v>Desk</x:v>
      </x:c>
      <x:c r="E47" t="str">
        <x:v>Furniture</x:v>
      </x:c>
      <x:c r="F47" t="str">
        <x:v>North</x:v>
      </x:c>
      <x:c r="G47" t="str">
        <x:v>Online</x:v>
      </x:c>
      <x:c r="H47" t="str">
        <x:v>Cancelled</x:v>
      </x:c>
      <x:c r="I47" t="n">
        <x:v>2</x:v>
      </x:c>
      <x:c r="J47" s="12" t="n">
        <x:v>267.77</x:v>
      </x:c>
      <x:c r="K47" s="12" t="n">
        <x:v>156.97</x:v>
      </x:c>
      <x:c r="L47" s="14" t="n">
        <x:v>0</x:v>
      </x:c>
      <x:c r="M47" s="12" t="n">
        <x:f>IF(H47="Completed",I47*J47*(1-L47),0)</x:f>
        <x:v>0</x:v>
      </x:c>
      <x:c r="N47" s="12" t="n">
        <x:f>IF(H47="Completed",I47*K47,0)</x:f>
        <x:v>0</x:v>
      </x:c>
      <x:c r="O47" s="12" t="n">
        <x:f>M47-N47</x:f>
        <x:v>0</x:v>
      </x:c>
      <x:c r="P47" s="16" t="n">
        <x:f>IFERROR(O47/M47,0)</x:f>
        <x:v>0</x:v>
      </x:c>
      <x:c r="Q47" t="n">
        <x:f>YEAR(B47)</x:f>
        <x:v>2024</x:v>
      </x:c>
      <x:c r="R47" t="str">
        <x:f>TEXT(B47,"yyyy-mm")</x:f>
        <x:v>2024-02</x:v>
      </x:c>
    </x:row>
    <x:row r="48">
      <x:c r="A48" t="n">
        <x:v>10181</x:v>
      </x:c>
      <x:c r="B48" s="10" t="n">
        <x:v>45337</x:v>
      </x:c>
      <x:c r="C48" t="str">
        <x:v>P006</x:v>
      </x:c>
      <x:c r="D48" t="str">
        <x:v>Chair</x:v>
      </x:c>
      <x:c r="E48" t="str">
        <x:v>Furniture</x:v>
      </x:c>
      <x:c r="F48" t="str">
        <x:v>Scotland</x:v>
      </x:c>
      <x:c r="G48" t="str">
        <x:v>Online</x:v>
      </x:c>
      <x:c r="H48" t="str">
        <x:v>Completed</x:v>
      </x:c>
      <x:c r="I48" t="n">
        <x:v>3</x:v>
      </x:c>
      <x:c r="J48" s="12" t="n">
        <x:v>135.47</x:v>
      </x:c>
      <x:c r="K48" s="12" t="n">
        <x:v>67.26</x:v>
      </x:c>
      <x:c r="L48" s="14" t="n">
        <x:v>0.15</x:v>
      </x:c>
      <x:c r="M48" s="12" t="n">
        <x:f>IF(H48="Completed",I48*J48*(1-L48),0)</x:f>
        <x:v>345.44849999999997</x:v>
      </x:c>
      <x:c r="N48" s="12" t="n">
        <x:f>IF(H48="Completed",I48*K48,0)</x:f>
        <x:v>201.78000000000003</x:v>
      </x:c>
      <x:c r="O48" s="12" t="n">
        <x:f>M48-N48</x:f>
        <x:v>143.66849999999994</x:v>
      </x:c>
      <x:c r="P48" s="16" t="n">
        <x:f>IFERROR(O48/M48,0)</x:f>
        <x:v>0.4158897780711161</x:v>
      </x:c>
      <x:c r="Q48" t="n">
        <x:f>YEAR(B48)</x:f>
        <x:v>2024</x:v>
      </x:c>
      <x:c r="R48" t="str">
        <x:f>TEXT(B48,"yyyy-mm")</x:f>
        <x:v>2024-02</x:v>
      </x:c>
    </x:row>
    <x:row r="49">
      <x:c r="A49" t="n">
        <x:v>10887</x:v>
      </x:c>
      <x:c r="B49" s="10" t="n">
        <x:v>45337</x:v>
      </x:c>
      <x:c r="C49" t="str">
        <x:v>P007</x:v>
      </x:c>
      <x:c r="D49" t="str">
        <x:v>Headset</x:v>
      </x:c>
      <x:c r="E49" t="str">
        <x:v>Accessories</x:v>
      </x:c>
      <x:c r="F49" t="str">
        <x:v>South</x:v>
      </x:c>
      <x:c r="G49" t="str">
        <x:v>Retail</x:v>
      </x:c>
      <x:c r="H49" t="str">
        <x:v>Completed</x:v>
      </x:c>
      <x:c r="I49" t="n">
        <x:v>4</x:v>
      </x:c>
      <x:c r="J49" s="12" t="n">
        <x:v>72.24</x:v>
      </x:c>
      <x:c r="K49" s="12" t="n">
        <x:v>35.56</x:v>
      </x:c>
      <x:c r="L49" s="14" t="n">
        <x:v>0.05</x:v>
      </x:c>
      <x:c r="M49" s="12" t="n">
        <x:f>IF(H49="Completed",I49*J49*(1-L49),0)</x:f>
        <x:v>274.51199999999994</x:v>
      </x:c>
      <x:c r="N49" s="12" t="n">
        <x:f>IF(H49="Completed",I49*K49,0)</x:f>
        <x:v>142.24</x:v>
      </x:c>
      <x:c r="O49" s="12" t="n">
        <x:f>M49-N49</x:f>
        <x:v>132.27199999999993</x:v>
      </x:c>
      <x:c r="P49" s="16" t="n">
        <x:f>IFERROR(O49/M49,0)</x:f>
        <x:v>0.4818441452468379</x:v>
      </x:c>
      <x:c r="Q49" t="n">
        <x:f>YEAR(B49)</x:f>
        <x:v>2024</x:v>
      </x:c>
      <x:c r="R49" t="str">
        <x:f>TEXT(B49,"yyyy-mm")</x:f>
        <x:v>2024-02</x:v>
      </x:c>
    </x:row>
    <x:row r="50">
      <x:c r="A50" t="n">
        <x:v>10012</x:v>
      </x:c>
      <x:c r="B50" s="10" t="n">
        <x:v>45340</x:v>
      </x:c>
      <x:c r="C50" t="str">
        <x:v>P002</x:v>
      </x:c>
      <x:c r="D50" t="str">
        <x:v>Monitor</x:v>
      </x:c>
      <x:c r="E50" t="str">
        <x:v>Electronics</x:v>
      </x:c>
      <x:c r="F50" t="str">
        <x:v>South</x:v>
      </x:c>
      <x:c r="G50" t="str">
        <x:v>Retail</x:v>
      </x:c>
      <x:c r="H50" t="str">
        <x:v>Completed</x:v>
      </x:c>
      <x:c r="I50" t="n">
        <x:v>2</x:v>
      </x:c>
      <x:c r="J50" s="12" t="n">
        <x:v>277.72</x:v>
      </x:c>
      <x:c r="K50" s="12" t="n">
        <x:v>169.84</x:v>
      </x:c>
      <x:c r="L50" s="14" t="n">
        <x:v>0.1</x:v>
      </x:c>
      <x:c r="M50" s="12" t="n">
        <x:f>IF(H50="Completed",I50*J50*(1-L50),0)</x:f>
        <x:v>499.8960000000001</x:v>
      </x:c>
      <x:c r="N50" s="12" t="n">
        <x:f>IF(H50="Completed",I50*K50,0)</x:f>
        <x:v>339.68</x:v>
      </x:c>
      <x:c r="O50" s="12" t="n">
        <x:f>M50-N50</x:f>
        <x:v>160.21600000000007</x:v>
      </x:c>
      <x:c r="P50" s="16" t="n">
        <x:f>IFERROR(O50/M50,0)</x:f>
        <x:v>0.32049866372205427</x:v>
      </x:c>
      <x:c r="Q50" t="n">
        <x:f>YEAR(B50)</x:f>
        <x:v>2024</x:v>
      </x:c>
      <x:c r="R50" t="str">
        <x:f>TEXT(B50,"yyyy-mm")</x:f>
        <x:v>2024-02</x:v>
      </x:c>
    </x:row>
    <x:row r="51">
      <x:c r="A51" t="n">
        <x:v>10250</x:v>
      </x:c>
      <x:c r="B51" s="10" t="n">
        <x:v>45341</x:v>
      </x:c>
      <x:c r="C51" t="str">
        <x:v>P004</x:v>
      </x:c>
      <x:c r="D51" t="str">
        <x:v>Mouse</x:v>
      </x:c>
      <x:c r="E51" t="str">
        <x:v>Accessories</x:v>
      </x:c>
      <x:c r="F51" t="str">
        <x:v>Midlands</x:v>
      </x:c>
      <x:c r="G51" t="str">
        <x:v>Online</x:v>
      </x:c>
      <x:c r="H51" t="str">
        <x:v>Completed</x:v>
      </x:c>
      <x:c r="I51" t="n">
        <x:v>1</x:v>
      </x:c>
      <x:c r="J51" s="12" t="n">
        <x:v>26.45</x:v>
      </x:c>
      <x:c r="K51" s="12" t="n">
        <x:v>13.39</x:v>
      </x:c>
      <x:c r="L51" s="14" t="n">
        <x:v>0</x:v>
      </x:c>
      <x:c r="M51" s="12" t="n">
        <x:f>IF(H51="Completed",I51*J51*(1-L51),0)</x:f>
        <x:v>26.45</x:v>
      </x:c>
      <x:c r="N51" s="12" t="n">
        <x:f>IF(H51="Completed",I51*K51,0)</x:f>
        <x:v>13.39</x:v>
      </x:c>
      <x:c r="O51" s="12" t="n">
        <x:f>M51-N51</x:f>
        <x:v>13.059999999999999</x:v>
      </x:c>
      <x:c r="P51" s="16" t="n">
        <x:f>IFERROR(O51/M51,0)</x:f>
        <x:v>0.49376181474480146</x:v>
      </x:c>
      <x:c r="Q51" t="n">
        <x:f>YEAR(B51)</x:f>
        <x:v>2024</x:v>
      </x:c>
      <x:c r="R51" t="str">
        <x:f>TEXT(B51,"yyyy-mm")</x:f>
        <x:v>2024-02</x:v>
      </x:c>
    </x:row>
    <x:row r="52">
      <x:c r="A52" t="n">
        <x:v>10423</x:v>
      </x:c>
      <x:c r="B52" s="10" t="n">
        <x:v>45341</x:v>
      </x:c>
      <x:c r="C52" t="str">
        <x:v>P001</x:v>
      </x:c>
      <x:c r="D52" t="str">
        <x:v>Laptop</x:v>
      </x:c>
      <x:c r="E52" t="str">
        <x:v>Electronics</x:v>
      </x:c>
      <x:c r="F52" t="str">
        <x:v>South</x:v>
      </x:c>
      <x:c r="G52" t="str">
        <x:v>Online</x:v>
      </x:c>
      <x:c r="H52" t="str">
        <x:v>Completed</x:v>
      </x:c>
      <x:c r="I52" t="n">
        <x:v>1</x:v>
      </x:c>
      <x:c r="J52" s="12" t="n">
        <x:v>921.01</x:v>
      </x:c>
      <x:c r="K52" s="12" t="n">
        <x:v>611.43</x:v>
      </x:c>
      <x:c r="L52" s="14" t="n">
        <x:v>0.05</x:v>
      </x:c>
      <x:c r="M52" s="12" t="n">
        <x:f>IF(H52="Completed",I52*J52*(1-L52),0)</x:f>
        <x:v>874.9594999999999</x:v>
      </x:c>
      <x:c r="N52" s="12" t="n">
        <x:f>IF(H52="Completed",I52*K52,0)</x:f>
        <x:v>611.43</x:v>
      </x:c>
      <x:c r="O52" s="12" t="n">
        <x:f>M52-N52</x:f>
        <x:v>263.5295</x:v>
      </x:c>
      <x:c r="P52" s="16" t="n">
        <x:f>IFERROR(O52/M52,0)</x:f>
        <x:v>0.30119051224656684</x:v>
      </x:c>
      <x:c r="Q52" t="n">
        <x:f>YEAR(B52)</x:f>
        <x:v>2024</x:v>
      </x:c>
      <x:c r="R52" t="str">
        <x:f>TEXT(B52,"yyyy-mm")</x:f>
        <x:v>2024-02</x:v>
      </x:c>
    </x:row>
    <x:row r="53">
      <x:c r="A53" t="n">
        <x:v>10440</x:v>
      </x:c>
      <x:c r="B53" s="10" t="n">
        <x:v>45343</x:v>
      </x:c>
      <x:c r="C53" t="str">
        <x:v>P004</x:v>
      </x:c>
      <x:c r="D53" t="str">
        <x:v>Mouse</x:v>
      </x:c>
      <x:c r="E53" t="str">
        <x:v>Accessories</x:v>
      </x:c>
      <x:c r="F53" t="str">
        <x:v>Midlands</x:v>
      </x:c>
      <x:c r="G53" t="str">
        <x:v>Online</x:v>
      </x:c>
      <x:c r="H53" t="str">
        <x:v>Completed</x:v>
      </x:c>
      <x:c r="I53" t="n">
        <x:v>4</x:v>
      </x:c>
      <x:c r="J53" s="12" t="n">
        <x:v>27.7</x:v>
      </x:c>
      <x:c r="K53" s="12" t="n">
        <x:v>13.03</x:v>
      </x:c>
      <x:c r="L53" s="14" t="n">
        <x:v>0.05</x:v>
      </x:c>
      <x:c r="M53" s="12" t="n">
        <x:f>IF(H53="Completed",I53*J53*(1-L53),0)</x:f>
        <x:v>105.25999999999999</x:v>
      </x:c>
      <x:c r="N53" s="12" t="n">
        <x:f>IF(H53="Completed",I53*K53,0)</x:f>
        <x:v>52.12</x:v>
      </x:c>
      <x:c r="O53" s="12" t="n">
        <x:f>M53-N53</x:f>
        <x:v>53.13999999999999</x:v>
      </x:c>
      <x:c r="P53" s="16" t="n">
        <x:f>IFERROR(O53/M53,0)</x:f>
        <x:v>0.5048451453543606</x:v>
      </x:c>
      <x:c r="Q53" t="n">
        <x:f>YEAR(B53)</x:f>
        <x:v>2024</x:v>
      </x:c>
      <x:c r="R53" t="str">
        <x:f>TEXT(B53,"yyyy-mm")</x:f>
        <x:v>2024-02</x:v>
      </x:c>
    </x:row>
    <x:row r="54">
      <x:c r="A54" t="n">
        <x:v>10256</x:v>
      </x:c>
      <x:c r="B54" s="10" t="n">
        <x:v>45344</x:v>
      </x:c>
      <x:c r="C54" t="str">
        <x:v>P005</x:v>
      </x:c>
      <x:c r="D54" t="str">
        <x:v>Desk</x:v>
      </x:c>
      <x:c r="E54" t="str">
        <x:v>Furniture</x:v>
      </x:c>
      <x:c r="F54" t="str">
        <x:v>South</x:v>
      </x:c>
      <x:c r="G54" t="str">
        <x:v>Retail</x:v>
      </x:c>
      <x:c r="H54" t="str">
        <x:v>Completed</x:v>
      </x:c>
      <x:c r="I54" t="n">
        <x:v>4</x:v>
      </x:c>
      <x:c r="J54" s="12" t="n">
        <x:v>282.24</x:v>
      </x:c>
      <x:c r="K54" s="12" t="n">
        <x:v>156.45</x:v>
      </x:c>
      <x:c r="L54" s="14" t="n">
        <x:v>0</x:v>
      </x:c>
      <x:c r="M54" s="12" t="n">
        <x:f>IF(H54="Completed",I54*J54*(1-L54),0)</x:f>
        <x:v>1128.96</x:v>
      </x:c>
      <x:c r="N54" s="12" t="n">
        <x:f>IF(H54="Completed",I54*K54,0)</x:f>
        <x:v>625.8</x:v>
      </x:c>
      <x:c r="O54" s="12" t="n">
        <x:f>M54-N54</x:f>
        <x:v>503.1600000000001</x:v>
      </x:c>
      <x:c r="P54" s="16" t="n">
        <x:f>IFERROR(O54/M54,0)</x:f>
        <x:v>0.4456845238095239</x:v>
      </x:c>
      <x:c r="Q54" t="n">
        <x:f>YEAR(B54)</x:f>
        <x:v>2024</x:v>
      </x:c>
      <x:c r="R54" t="str">
        <x:f>TEXT(B54,"yyyy-mm")</x:f>
        <x:v>2024-02</x:v>
      </x:c>
    </x:row>
    <x:row r="55">
      <x:c r="A55" t="n">
        <x:v>10131</x:v>
      </x:c>
      <x:c r="B55" s="10" t="n">
        <x:v>45345</x:v>
      </x:c>
      <x:c r="C55" t="str">
        <x:v>P003</x:v>
      </x:c>
      <x:c r="D55" t="str">
        <x:v>Keyboard</x:v>
      </x:c>
      <x:c r="E55" t="str">
        <x:v>Accessories</x:v>
      </x:c>
      <x:c r="F55" t="str">
        <x:v>South</x:v>
      </x:c>
      <x:c r="G55" t="str">
        <x:v>Retail</x:v>
      </x:c>
      <x:c r="H55" t="str">
        <x:v>Completed</x:v>
      </x:c>
      <x:c r="I55" t="n">
        <x:v>4</x:v>
      </x:c>
      <x:c r="J55" s="12" t="n">
        <x:v>50.2</x:v>
      </x:c>
      <x:c r="K55" s="12" t="n">
        <x:v>26.15</x:v>
      </x:c>
      <x:c r="L55" s="14" t="n">
        <x:v>0.05</x:v>
      </x:c>
      <x:c r="M55" s="12" t="n">
        <x:f>IF(H55="Completed",I55*J55*(1-L55),0)</x:f>
        <x:v>190.76</x:v>
      </x:c>
      <x:c r="N55" s="12" t="n">
        <x:f>IF(H55="Completed",I55*K55,0)</x:f>
        <x:v>104.6</x:v>
      </x:c>
      <x:c r="O55" s="12" t="n">
        <x:f>M55-N55</x:f>
        <x:v>86.16</x:v>
      </x:c>
      <x:c r="P55" s="16" t="n">
        <x:f>IFERROR(O55/M55,0)</x:f>
        <x:v>0.45166701614594257</x:v>
      </x:c>
      <x:c r="Q55" t="n">
        <x:f>YEAR(B55)</x:f>
        <x:v>2024</x:v>
      </x:c>
      <x:c r="R55" t="str">
        <x:f>TEXT(B55,"yyyy-mm")</x:f>
        <x:v>2024-02</x:v>
      </x:c>
    </x:row>
    <x:row r="56">
      <x:c r="A56" t="n">
        <x:v>10510</x:v>
      </x:c>
      <x:c r="B56" s="10" t="n">
        <x:v>45345</x:v>
      </x:c>
      <x:c r="C56" t="str">
        <x:v>P003</x:v>
      </x:c>
      <x:c r="D56" t="str">
        <x:v>Keyboard</x:v>
      </x:c>
      <x:c r="E56" t="str">
        <x:v>Accessories</x:v>
      </x:c>
      <x:c r="F56" t="str">
        <x:v>Wales</x:v>
      </x:c>
      <x:c r="G56" t="str">
        <x:v>Online</x:v>
      </x:c>
      <x:c r="H56" t="str">
        <x:v>Completed</x:v>
      </x:c>
      <x:c r="I56" t="n">
        <x:v>4</x:v>
      </x:c>
      <x:c r="J56" s="12" t="n">
        <x:v>49.15</x:v>
      </x:c>
      <x:c r="K56" s="12" t="n">
        <x:v>26.26</x:v>
      </x:c>
      <x:c r="L56" s="14" t="n">
        <x:v>0</x:v>
      </x:c>
      <x:c r="M56" s="12" t="n">
        <x:f>IF(H56="Completed",I56*J56*(1-L56),0)</x:f>
        <x:v>196.6</x:v>
      </x:c>
      <x:c r="N56" s="12" t="n">
        <x:f>IF(H56="Completed",I56*K56,0)</x:f>
        <x:v>105.04</x:v>
      </x:c>
      <x:c r="O56" s="12" t="n">
        <x:f>M56-N56</x:f>
        <x:v>91.55999999999999</x:v>
      </x:c>
      <x:c r="P56" s="16" t="n">
        <x:f>IFERROR(O56/M56,0)</x:f>
        <x:v>0.46571719226856556</x:v>
      </x:c>
      <x:c r="Q56" t="n">
        <x:f>YEAR(B56)</x:f>
        <x:v>2024</x:v>
      </x:c>
      <x:c r="R56" t="str">
        <x:f>TEXT(B56,"yyyy-mm")</x:f>
        <x:v>2024-02</x:v>
      </x:c>
    </x:row>
    <x:row r="57">
      <x:c r="A57" t="n">
        <x:v>10675</x:v>
      </x:c>
      <x:c r="B57" s="10" t="n">
        <x:v>45345</x:v>
      </x:c>
      <x:c r="C57" t="str">
        <x:v>P003</x:v>
      </x:c>
      <x:c r="D57" t="str">
        <x:v>Keyboard</x:v>
      </x:c>
      <x:c r="E57" t="str">
        <x:v>Accessories</x:v>
      </x:c>
      <x:c r="F57" t="str">
        <x:v>Midlands</x:v>
      </x:c>
      <x:c r="G57" t="str">
        <x:v>Online</x:v>
      </x:c>
      <x:c r="H57" t="str">
        <x:v>Cancelled</x:v>
      </x:c>
      <x:c r="I57" t="n">
        <x:v>4</x:v>
      </x:c>
      <x:c r="J57" s="12" t="n">
        <x:v>48.83</x:v>
      </x:c>
      <x:c r="K57" s="12" t="n">
        <x:v>26.4</x:v>
      </x:c>
      <x:c r="L57" s="14" t="n">
        <x:v>0</x:v>
      </x:c>
      <x:c r="M57" s="12" t="n">
        <x:f>IF(H57="Completed",I57*J57*(1-L57),0)</x:f>
        <x:v>0</x:v>
      </x:c>
      <x:c r="N57" s="12" t="n">
        <x:f>IF(H57="Completed",I57*K57,0)</x:f>
        <x:v>0</x:v>
      </x:c>
      <x:c r="O57" s="12" t="n">
        <x:f>M57-N57</x:f>
        <x:v>0</x:v>
      </x:c>
      <x:c r="P57" s="16" t="n">
        <x:f>IFERROR(O57/M57,0)</x:f>
        <x:v>0</x:v>
      </x:c>
      <x:c r="Q57" t="n">
        <x:f>YEAR(B57)</x:f>
        <x:v>2024</x:v>
      </x:c>
      <x:c r="R57" t="str">
        <x:f>TEXT(B57,"yyyy-mm")</x:f>
        <x:v>2024-02</x:v>
      </x:c>
    </x:row>
    <x:row r="58">
      <x:c r="A58" t="n">
        <x:v>10916</x:v>
      </x:c>
      <x:c r="B58" s="10" t="n">
        <x:v>45345</x:v>
      </x:c>
      <x:c r="C58" t="str">
        <x:v>P006</x:v>
      </x:c>
      <x:c r="D58" t="str">
        <x:v>Chair</x:v>
      </x:c>
      <x:c r="E58" t="str">
        <x:v>Furniture</x:v>
      </x:c>
      <x:c r="F58" t="str">
        <x:v>Scotland</x:v>
      </x:c>
      <x:c r="G58" t="str">
        <x:v>Online</x:v>
      </x:c>
      <x:c r="H58" t="str">
        <x:v>Completed</x:v>
      </x:c>
      <x:c r="I58" t="n">
        <x:v>4</x:v>
      </x:c>
      <x:c r="J58" s="12" t="n">
        <x:v>135.85</x:v>
      </x:c>
      <x:c r="K58" s="12" t="n">
        <x:v>68.32</x:v>
      </x:c>
      <x:c r="L58" s="14" t="n">
        <x:v>0.15</x:v>
      </x:c>
      <x:c r="M58" s="12" t="n">
        <x:f>IF(H58="Completed",I58*J58*(1-L58),0)</x:f>
        <x:v>461.89</x:v>
      </x:c>
      <x:c r="N58" s="12" t="n">
        <x:f>IF(H58="Completed",I58*K58,0)</x:f>
        <x:v>273.28</x:v>
      </x:c>
      <x:c r="O58" s="12" t="n">
        <x:f>M58-N58</x:f>
        <x:v>188.61</x:v>
      </x:c>
      <x:c r="P58" s="16" t="n">
        <x:f>IFERROR(O58/M58,0)</x:f>
        <x:v>0.40834397800342076</x:v>
      </x:c>
      <x:c r="Q58" t="n">
        <x:f>YEAR(B58)</x:f>
        <x:v>2024</x:v>
      </x:c>
      <x:c r="R58" t="str">
        <x:f>TEXT(B58,"yyyy-mm")</x:f>
        <x:v>2024-02</x:v>
      </x:c>
    </x:row>
    <x:row r="59">
      <x:c r="A59" t="n">
        <x:v>10082</x:v>
      </x:c>
      <x:c r="B59" s="10" t="n">
        <x:v>45347</x:v>
      </x:c>
      <x:c r="C59" t="str">
        <x:v>P005</x:v>
      </x:c>
      <x:c r="D59" t="str">
        <x:v>Desk</x:v>
      </x:c>
      <x:c r="E59" t="str">
        <x:v>Furniture</x:v>
      </x:c>
      <x:c r="F59" t="str">
        <x:v>South</x:v>
      </x:c>
      <x:c r="G59" t="str">
        <x:v>Retail</x:v>
      </x:c>
      <x:c r="H59" t="str">
        <x:v>Completed</x:v>
      </x:c>
      <x:c r="I59" t="n">
        <x:v>2</x:v>
      </x:c>
      <x:c r="J59" s="12" t="n">
        <x:v>277.8</x:v>
      </x:c>
      <x:c r="K59" s="12" t="n">
        <x:v>155.54</x:v>
      </x:c>
      <x:c r="L59" s="14" t="n">
        <x:v>0</x:v>
      </x:c>
      <x:c r="M59" s="12" t="n">
        <x:f>IF(H59="Completed",I59*J59*(1-L59),0)</x:f>
        <x:v>555.6</x:v>
      </x:c>
      <x:c r="N59" s="12" t="n">
        <x:f>IF(H59="Completed",I59*K59,0)</x:f>
        <x:v>311.08</x:v>
      </x:c>
      <x:c r="O59" s="12" t="n">
        <x:f>M59-N59</x:f>
        <x:v>244.52000000000004</x:v>
      </x:c>
      <x:c r="P59" s="16" t="n">
        <x:f>IFERROR(O59/M59,0)</x:f>
        <x:v>0.44010079193664514</x:v>
      </x:c>
      <x:c r="Q59" t="n">
        <x:f>YEAR(B59)</x:f>
        <x:v>2024</x:v>
      </x:c>
      <x:c r="R59" t="str">
        <x:f>TEXT(B59,"yyyy-mm")</x:f>
        <x:v>2024-02</x:v>
      </x:c>
    </x:row>
    <x:row r="60">
      <x:c r="A60" t="n">
        <x:v>10382</x:v>
      </x:c>
      <x:c r="B60" s="10" t="n">
        <x:v>45347</x:v>
      </x:c>
      <x:c r="C60" t="str">
        <x:v>P006</x:v>
      </x:c>
      <x:c r="D60" t="str">
        <x:v>Chair</x:v>
      </x:c>
      <x:c r="E60" t="str">
        <x:v>Furniture</x:v>
      </x:c>
      <x:c r="F60" t="str">
        <x:v>Midlands</x:v>
      </x:c>
      <x:c r="G60" t="str">
        <x:v>Online</x:v>
      </x:c>
      <x:c r="H60" t="str">
        <x:v>Cancelled</x:v>
      </x:c>
      <x:c r="I60" t="n">
        <x:v>1</x:v>
      </x:c>
      <x:c r="J60" s="12" t="n">
        <x:v>132.84</x:v>
      </x:c>
      <x:c r="K60" s="12" t="n">
        <x:v>66.73</x:v>
      </x:c>
      <x:c r="L60" s="14" t="n">
        <x:v>0.05</x:v>
      </x:c>
      <x:c r="M60" s="12" t="n">
        <x:f>IF(H60="Completed",I60*J60*(1-L60),0)</x:f>
        <x:v>0</x:v>
      </x:c>
      <x:c r="N60" s="12" t="n">
        <x:f>IF(H60="Completed",I60*K60,0)</x:f>
        <x:v>0</x:v>
      </x:c>
      <x:c r="O60" s="12" t="n">
        <x:f>M60-N60</x:f>
        <x:v>0</x:v>
      </x:c>
      <x:c r="P60" s="16" t="n">
        <x:f>IFERROR(O60/M60,0)</x:f>
        <x:v>0</x:v>
      </x:c>
      <x:c r="Q60" t="n">
        <x:f>YEAR(B60)</x:f>
        <x:v>2024</x:v>
      </x:c>
      <x:c r="R60" t="str">
        <x:f>TEXT(B60,"yyyy-mm")</x:f>
        <x:v>2024-02</x:v>
      </x:c>
    </x:row>
    <x:row r="61">
      <x:c r="A61" t="n">
        <x:v>10470</x:v>
      </x:c>
      <x:c r="B61" s="10" t="n">
        <x:v>45347</x:v>
      </x:c>
      <x:c r="C61" t="str">
        <x:v>P003</x:v>
      </x:c>
      <x:c r="D61" t="str">
        <x:v>Keyboard</x:v>
      </x:c>
      <x:c r="E61" t="str">
        <x:v>Accessories</x:v>
      </x:c>
      <x:c r="F61" t="str">
        <x:v>South</x:v>
      </x:c>
      <x:c r="G61" t="str">
        <x:v>Retail</x:v>
      </x:c>
      <x:c r="H61" t="str">
        <x:v>Completed</x:v>
      </x:c>
      <x:c r="I61" t="n">
        <x:v>3</x:v>
      </x:c>
      <x:c r="J61" s="12" t="n">
        <x:v>48.93</x:v>
      </x:c>
      <x:c r="K61" s="12" t="n">
        <x:v>26.07</x:v>
      </x:c>
      <x:c r="L61" s="14" t="n">
        <x:v>0</x:v>
      </x:c>
      <x:c r="M61" s="12" t="n">
        <x:f>IF(H61="Completed",I61*J61*(1-L61),0)</x:f>
        <x:v>146.79</x:v>
      </x:c>
      <x:c r="N61" s="12" t="n">
        <x:f>IF(H61="Completed",I61*K61,0)</x:f>
        <x:v>78.21000000000001</x:v>
      </x:c>
      <x:c r="O61" s="12" t="n">
        <x:f>M61-N61</x:f>
        <x:v>68.57999999999998</x:v>
      </x:c>
      <x:c r="P61" s="16" t="n">
        <x:f>IFERROR(O61/M61,0)</x:f>
        <x:v>0.4671980380134886</x:v>
      </x:c>
      <x:c r="Q61" t="n">
        <x:f>YEAR(B61)</x:f>
        <x:v>2024</x:v>
      </x:c>
      <x:c r="R61" t="str">
        <x:f>TEXT(B61,"yyyy-mm")</x:f>
        <x:v>2024-02</x:v>
      </x:c>
    </x:row>
    <x:row r="62">
      <x:c r="A62" t="n">
        <x:v>10242</x:v>
      </x:c>
      <x:c r="B62" s="10" t="n">
        <x:v>45348</x:v>
      </x:c>
      <x:c r="C62" t="str">
        <x:v>P008</x:v>
      </x:c>
      <x:c r="D62" t="str">
        <x:v>Webcam</x:v>
      </x:c>
      <x:c r="E62" t="str">
        <x:v>Electronics</x:v>
      </x:c>
      <x:c r="F62" t="str">
        <x:v>South</x:v>
      </x:c>
      <x:c r="G62" t="str">
        <x:v>Online</x:v>
      </x:c>
      <x:c r="H62" t="str">
        <x:v>Completed</x:v>
      </x:c>
      <x:c r="I62" t="n">
        <x:v>2</x:v>
      </x:c>
      <x:c r="J62" s="12" t="n">
        <x:v>89.21</x:v>
      </x:c>
      <x:c r="K62" s="12" t="n">
        <x:v>42.85</x:v>
      </x:c>
      <x:c r="L62" s="14" t="n">
        <x:v>0.1</x:v>
      </x:c>
      <x:c r="M62" s="12" t="n">
        <x:f>IF(H62="Completed",I62*J62*(1-L62),0)</x:f>
        <x:v>160.578</x:v>
      </x:c>
      <x:c r="N62" s="12" t="n">
        <x:f>IF(H62="Completed",I62*K62,0)</x:f>
        <x:v>85.7</x:v>
      </x:c>
      <x:c r="O62" s="12" t="n">
        <x:f>M62-N62</x:f>
        <x:v>74.878</x:v>
      </x:c>
      <x:c r="P62" s="16" t="n">
        <x:f>IFERROR(O62/M62,0)</x:f>
        <x:v>0.4663029804830051</x:v>
      </x:c>
      <x:c r="Q62" t="n">
        <x:f>YEAR(B62)</x:f>
        <x:v>2024</x:v>
      </x:c>
      <x:c r="R62" t="str">
        <x:f>TEXT(B62,"yyyy-mm")</x:f>
        <x:v>2024-02</x:v>
      </x:c>
    </x:row>
    <x:row r="63">
      <x:c r="A63" t="n">
        <x:v>10156</x:v>
      </x:c>
      <x:c r="B63" s="10" t="n">
        <x:v>45349</x:v>
      </x:c>
      <x:c r="C63" t="str">
        <x:v>P006</x:v>
      </x:c>
      <x:c r="D63" t="str">
        <x:v>Chair</x:v>
      </x:c>
      <x:c r="E63" t="str">
        <x:v>Furniture</x:v>
      </x:c>
      <x:c r="F63" t="str">
        <x:v>Midlands</x:v>
      </x:c>
      <x:c r="G63" t="str">
        <x:v>Online</x:v>
      </x:c>
      <x:c r="H63" t="str">
        <x:v>Completed</x:v>
      </x:c>
      <x:c r="I63" t="n">
        <x:v>1</x:v>
      </x:c>
      <x:c r="J63" s="12" t="n">
        <x:v>138.81</x:v>
      </x:c>
      <x:c r="K63" s="12" t="n">
        <x:v>66.9</x:v>
      </x:c>
      <x:c r="L63" s="14" t="n">
        <x:v>0</x:v>
      </x:c>
      <x:c r="M63" s="12" t="n">
        <x:f>IF(H63="Completed",I63*J63*(1-L63),0)</x:f>
        <x:v>138.81</x:v>
      </x:c>
      <x:c r="N63" s="12" t="n">
        <x:f>IF(H63="Completed",I63*K63,0)</x:f>
        <x:v>66.9</x:v>
      </x:c>
      <x:c r="O63" s="12" t="n">
        <x:f>M63-N63</x:f>
        <x:v>71.91</x:v>
      </x:c>
      <x:c r="P63" s="16" t="n">
        <x:f>IFERROR(O63/M63,0)</x:f>
        <x:v>0.5180462502701534</x:v>
      </x:c>
      <x:c r="Q63" t="n">
        <x:f>YEAR(B63)</x:f>
        <x:v>2024</x:v>
      </x:c>
      <x:c r="R63" t="str">
        <x:f>TEXT(B63,"yyyy-mm")</x:f>
        <x:v>2024-02</x:v>
      </x:c>
    </x:row>
    <x:row r="64">
      <x:c r="A64" t="n">
        <x:v>10133</x:v>
      </x:c>
      <x:c r="B64" s="10" t="n">
        <x:v>45354</x:v>
      </x:c>
      <x:c r="C64" t="str">
        <x:v>P008</x:v>
      </x:c>
      <x:c r="D64" t="str">
        <x:v>Webcam</x:v>
      </x:c>
      <x:c r="E64" t="str">
        <x:v>Electronics</x:v>
      </x:c>
      <x:c r="F64" t="str">
        <x:v>Midlands</x:v>
      </x:c>
      <x:c r="G64" t="str">
        <x:v>Online</x:v>
      </x:c>
      <x:c r="H64" t="str">
        <x:v>Completed</x:v>
      </x:c>
      <x:c r="I64" t="n">
        <x:v>4</x:v>
      </x:c>
      <x:c r="J64" s="12" t="n">
        <x:v>91.93</x:v>
      </x:c>
      <x:c r="K64" s="12" t="n">
        <x:v>41.84</x:v>
      </x:c>
      <x:c r="L64" s="14" t="n">
        <x:v>0</x:v>
      </x:c>
      <x:c r="M64" s="12" t="n">
        <x:f>IF(H64="Completed",I64*J64*(1-L64),0)</x:f>
        <x:v>367.72</x:v>
      </x:c>
      <x:c r="N64" s="12" t="n">
        <x:f>IF(H64="Completed",I64*K64,0)</x:f>
        <x:v>167.36</x:v>
      </x:c>
      <x:c r="O64" s="12" t="n">
        <x:f>M64-N64</x:f>
        <x:v>200.36</x:v>
      </x:c>
      <x:c r="P64" s="16" t="n">
        <x:f>IFERROR(O64/M64,0)</x:f>
        <x:v>0.5448710975742412</x:v>
      </x:c>
      <x:c r="Q64" t="n">
        <x:f>YEAR(B64)</x:f>
        <x:v>2024</x:v>
      </x:c>
      <x:c r="R64" t="str">
        <x:f>TEXT(B64,"yyyy-mm")</x:f>
        <x:v>2024-03</x:v>
      </x:c>
    </x:row>
    <x:row r="65">
      <x:c r="A65" t="n">
        <x:v>10123</x:v>
      </x:c>
      <x:c r="B65" s="10" t="n">
        <x:v>45356</x:v>
      </x:c>
      <x:c r="C65" t="str">
        <x:v>P008</x:v>
      </x:c>
      <x:c r="D65" t="str">
        <x:v>Webcam</x:v>
      </x:c>
      <x:c r="E65" t="str">
        <x:v>Electronics</x:v>
      </x:c>
      <x:c r="F65" t="str">
        <x:v>South</x:v>
      </x:c>
      <x:c r="G65" t="str">
        <x:v>Online</x:v>
      </x:c>
      <x:c r="H65" t="str">
        <x:v>Completed</x:v>
      </x:c>
      <x:c r="I65" t="n">
        <x:v>3</x:v>
      </x:c>
      <x:c r="J65" s="12" t="n">
        <x:v>88.23</x:v>
      </x:c>
      <x:c r="K65" s="12" t="n">
        <x:v>42.19</x:v>
      </x:c>
      <x:c r="L65" s="14" t="n">
        <x:v>0</x:v>
      </x:c>
      <x:c r="M65" s="12" t="n">
        <x:f>IF(H65="Completed",I65*J65*(1-L65),0)</x:f>
        <x:v>264.69</x:v>
      </x:c>
      <x:c r="N65" s="12" t="n">
        <x:f>IF(H65="Completed",I65*K65,0)</x:f>
        <x:v>126.57</x:v>
      </x:c>
      <x:c r="O65" s="12" t="n">
        <x:f>M65-N65</x:f>
        <x:v>138.12</x:v>
      </x:c>
      <x:c r="P65" s="16" t="n">
        <x:f>IFERROR(O65/M65,0)</x:f>
        <x:v>0.5218179757452114</x:v>
      </x:c>
      <x:c r="Q65" t="n">
        <x:f>YEAR(B65)</x:f>
        <x:v>2024</x:v>
      </x:c>
      <x:c r="R65" t="str">
        <x:f>TEXT(B65,"yyyy-mm")</x:f>
        <x:v>2024-03</x:v>
      </x:c>
    </x:row>
    <x:row r="66">
      <x:c r="A66" t="n">
        <x:v>10020</x:v>
      </x:c>
      <x:c r="B66" s="10" t="n">
        <x:v>45357</x:v>
      </x:c>
      <x:c r="C66" t="str">
        <x:v>P006</x:v>
      </x:c>
      <x:c r="D66" t="str">
        <x:v>Chair</x:v>
      </x:c>
      <x:c r="E66" t="str">
        <x:v>Furniture</x:v>
      </x:c>
      <x:c r="F66" t="str">
        <x:v>South</x:v>
      </x:c>
      <x:c r="G66" t="str">
        <x:v>Online</x:v>
      </x:c>
      <x:c r="H66" t="str">
        <x:v>Completed</x:v>
      </x:c>
      <x:c r="I66" t="n">
        <x:v>1</x:v>
      </x:c>
      <x:c r="J66" s="12" t="n">
        <x:v>131.62</x:v>
      </x:c>
      <x:c r="K66" s="12" t="n">
        <x:v>68.79</x:v>
      </x:c>
      <x:c r="L66" s="14" t="n">
        <x:v>0</x:v>
      </x:c>
      <x:c r="M66" s="12" t="n">
        <x:f>IF(H66="Completed",I66*J66*(1-L66),0)</x:f>
        <x:v>131.62</x:v>
      </x:c>
      <x:c r="N66" s="12" t="n">
        <x:f>IF(H66="Completed",I66*K66,0)</x:f>
        <x:v>68.79</x:v>
      </x:c>
      <x:c r="O66" s="12" t="n">
        <x:f>M66-N66</x:f>
        <x:v>62.83</x:v>
      </x:c>
      <x:c r="P66" s="16" t="n">
        <x:f>IFERROR(O66/M66,0)</x:f>
        <x:v>0.4773590639720407</x:v>
      </x:c>
      <x:c r="Q66" t="n">
        <x:f>YEAR(B66)</x:f>
        <x:v>2024</x:v>
      </x:c>
      <x:c r="R66" t="str">
        <x:f>TEXT(B66,"yyyy-mm")</x:f>
        <x:v>2024-03</x:v>
      </x:c>
    </x:row>
    <x:row r="67">
      <x:c r="A67" t="n">
        <x:v>10010</x:v>
      </x:c>
      <x:c r="B67" s="10" t="n">
        <x:v>45359</x:v>
      </x:c>
      <x:c r="C67" t="str">
        <x:v>P004</x:v>
      </x:c>
      <x:c r="D67" t="str">
        <x:v>Mouse</x:v>
      </x:c>
      <x:c r="E67" t="str">
        <x:v>Accessories</x:v>
      </x:c>
      <x:c r="F67" t="str">
        <x:v>North</x:v>
      </x:c>
      <x:c r="G67" t="str">
        <x:v>Online</x:v>
      </x:c>
      <x:c r="H67" t="str">
        <x:v>Completed</x:v>
      </x:c>
      <x:c r="I67" t="n">
        <x:v>3</x:v>
      </x:c>
      <x:c r="J67" s="12" t="n">
        <x:v>26.69</x:v>
      </x:c>
      <x:c r="K67" s="12" t="n">
        <x:v>12.9</x:v>
      </x:c>
      <x:c r="L67" s="14" t="n">
        <x:v>0</x:v>
      </x:c>
      <x:c r="M67" s="12" t="n">
        <x:f>IF(H67="Completed",I67*J67*(1-L67),0)</x:f>
        <x:v>80.07000000000001</x:v>
      </x:c>
      <x:c r="N67" s="12" t="n">
        <x:f>IF(H67="Completed",I67*K67,0)</x:f>
        <x:v>38.7</x:v>
      </x:c>
      <x:c r="O67" s="12" t="n">
        <x:f>M67-N67</x:f>
        <x:v>41.370000000000005</x:v>
      </x:c>
      <x:c r="P67" s="16" t="n">
        <x:f>IFERROR(O67/M67,0)</x:f>
        <x:v>0.5166729112026976</x:v>
      </x:c>
      <x:c r="Q67" t="n">
        <x:f>YEAR(B67)</x:f>
        <x:v>2024</x:v>
      </x:c>
      <x:c r="R67" t="str">
        <x:f>TEXT(B67,"yyyy-mm")</x:f>
        <x:v>2024-03</x:v>
      </x:c>
    </x:row>
    <x:row r="68">
      <x:c r="A68" t="n">
        <x:v>10161</x:v>
      </x:c>
      <x:c r="B68" s="10" t="n">
        <x:v>45359</x:v>
      </x:c>
      <x:c r="C68" t="str">
        <x:v>P006</x:v>
      </x:c>
      <x:c r="D68" t="str">
        <x:v>Chair</x:v>
      </x:c>
      <x:c r="E68" t="str">
        <x:v>Furniture</x:v>
      </x:c>
      <x:c r="F68" t="str">
        <x:v>South</x:v>
      </x:c>
      <x:c r="G68" t="str">
        <x:v>Online</x:v>
      </x:c>
      <x:c r="H68" t="str">
        <x:v>Completed</x:v>
      </x:c>
      <x:c r="I68" t="n">
        <x:v>1</x:v>
      </x:c>
      <x:c r="J68" s="12" t="n">
        <x:v>139</x:v>
      </x:c>
      <x:c r="K68" s="12" t="n">
        <x:v>69.92</x:v>
      </x:c>
      <x:c r="L68" s="14" t="n">
        <x:v>0.15</x:v>
      </x:c>
      <x:c r="M68" s="12" t="n">
        <x:f>IF(H68="Completed",I68*J68*(1-L68),0)</x:f>
        <x:v>118.14999999999999</x:v>
      </x:c>
      <x:c r="N68" s="12" t="n">
        <x:f>IF(H68="Completed",I68*K68,0)</x:f>
        <x:v>69.92</x:v>
      </x:c>
      <x:c r="O68" s="12" t="n">
        <x:f>M68-N68</x:f>
        <x:v>48.22999999999999</x:v>
      </x:c>
      <x:c r="P68" s="16" t="n">
        <x:f>IFERROR(O68/M68,0)</x:f>
        <x:v>0.40820990266610235</x:v>
      </x:c>
      <x:c r="Q68" t="n">
        <x:f>YEAR(B68)</x:f>
        <x:v>2024</x:v>
      </x:c>
      <x:c r="R68" t="str">
        <x:f>TEXT(B68,"yyyy-mm")</x:f>
        <x:v>2024-03</x:v>
      </x:c>
    </x:row>
    <x:row r="69">
      <x:c r="A69" t="n">
        <x:v>10752</x:v>
      </x:c>
      <x:c r="B69" s="10" t="n">
        <x:v>45360</x:v>
      </x:c>
      <x:c r="C69" t="str">
        <x:v>P006</x:v>
      </x:c>
      <x:c r="D69" t="str">
        <x:v>Chair</x:v>
      </x:c>
      <x:c r="E69" t="str">
        <x:v>Furniture</x:v>
      </x:c>
      <x:c r="F69" t="str">
        <x:v>South</x:v>
      </x:c>
      <x:c r="G69" t="str">
        <x:v>Partner</x:v>
      </x:c>
      <x:c r="H69" t="str">
        <x:v>Completed</x:v>
      </x:c>
      <x:c r="I69" t="n">
        <x:v>4</x:v>
      </x:c>
      <x:c r="J69" s="12" t="n">
        <x:v>138.68</x:v>
      </x:c>
      <x:c r="K69" s="12" t="n">
        <x:v>67.91</x:v>
      </x:c>
      <x:c r="L69" s="14" t="n">
        <x:v>0.15</x:v>
      </x:c>
      <x:c r="M69" s="12" t="n">
        <x:f>IF(H69="Completed",I69*J69*(1-L69),0)</x:f>
        <x:v>471.512</x:v>
      </x:c>
      <x:c r="N69" s="12" t="n">
        <x:f>IF(H69="Completed",I69*K69,0)</x:f>
        <x:v>271.64</x:v>
      </x:c>
      <x:c r="O69" s="12" t="n">
        <x:f>M69-N69</x:f>
        <x:v>199.872</x:v>
      </x:c>
      <x:c r="P69" s="16" t="n">
        <x:f>IFERROR(O69/M69,0)</x:f>
        <x:v>0.4238958923632909</x:v>
      </x:c>
      <x:c r="Q69" t="n">
        <x:f>YEAR(B69)</x:f>
        <x:v>2024</x:v>
      </x:c>
      <x:c r="R69" t="str">
        <x:f>TEXT(B69,"yyyy-mm")</x:f>
        <x:v>2024-03</x:v>
      </x:c>
    </x:row>
    <x:row r="70">
      <x:c r="A70" t="n">
        <x:v>10680</x:v>
      </x:c>
      <x:c r="B70" s="10" t="n">
        <x:v>45361</x:v>
      </x:c>
      <x:c r="C70" t="str">
        <x:v>P001</x:v>
      </x:c>
      <x:c r="D70" t="str">
        <x:v>Laptop</x:v>
      </x:c>
      <x:c r="E70" t="str">
        <x:v>Electronics</x:v>
      </x:c>
      <x:c r="F70" t="str">
        <x:v>North</x:v>
      </x:c>
      <x:c r="G70" t="str">
        <x:v>Online</x:v>
      </x:c>
      <x:c r="H70" t="str">
        <x:v>Completed</x:v>
      </x:c>
      <x:c r="I70" t="n">
        <x:v>4</x:v>
      </x:c>
      <x:c r="J70" s="12" t="n">
        <x:v>906.53</x:v>
      </x:c>
      <x:c r="K70" s="12" t="n">
        <x:v>616.38</x:v>
      </x:c>
      <x:c r="L70" s="14" t="n">
        <x:v>0</x:v>
      </x:c>
      <x:c r="M70" s="12" t="n">
        <x:f>IF(H70="Completed",I70*J70*(1-L70),0)</x:f>
        <x:v>3626.12</x:v>
      </x:c>
      <x:c r="N70" s="12" t="n">
        <x:f>IF(H70="Completed",I70*K70,0)</x:f>
        <x:v>2465.52</x:v>
      </x:c>
      <x:c r="O70" s="12" t="n">
        <x:f>M70-N70</x:f>
        <x:v>1160.6</x:v>
      </x:c>
      <x:c r="P70" s="16" t="n">
        <x:f>IFERROR(O70/M70,0)</x:f>
        <x:v>0.3200666276902033</x:v>
      </x:c>
      <x:c r="Q70" t="n">
        <x:f>YEAR(B70)</x:f>
        <x:v>2024</x:v>
      </x:c>
      <x:c r="R70" t="str">
        <x:f>TEXT(B70,"yyyy-mm")</x:f>
        <x:v>2024-03</x:v>
      </x:c>
    </x:row>
    <x:row r="71">
      <x:c r="A71" t="n">
        <x:v>10777</x:v>
      </x:c>
      <x:c r="B71" s="10" t="n">
        <x:v>45361</x:v>
      </x:c>
      <x:c r="C71" t="str">
        <x:v>P008</x:v>
      </x:c>
      <x:c r="D71" t="str">
        <x:v>Webcam</x:v>
      </x:c>
      <x:c r="E71" t="str">
        <x:v>Electronics</x:v>
      </x:c>
      <x:c r="F71" t="str">
        <x:v>Wales</x:v>
      </x:c>
      <x:c r="G71" t="str">
        <x:v>Online</x:v>
      </x:c>
      <x:c r="H71" t="str">
        <x:v>Completed</x:v>
      </x:c>
      <x:c r="I71" t="n">
        <x:v>1</x:v>
      </x:c>
      <x:c r="J71" s="12" t="n">
        <x:v>88.22</x:v>
      </x:c>
      <x:c r="K71" s="12" t="n">
        <x:v>42.47</x:v>
      </x:c>
      <x:c r="L71" s="14" t="n">
        <x:v>0</x:v>
      </x:c>
      <x:c r="M71" s="12" t="n">
        <x:f>IF(H71="Completed",I71*J71*(1-L71),0)</x:f>
        <x:v>88.22</x:v>
      </x:c>
      <x:c r="N71" s="12" t="n">
        <x:f>IF(H71="Completed",I71*K71,0)</x:f>
        <x:v>42.47</x:v>
      </x:c>
      <x:c r="O71" s="12" t="n">
        <x:f>M71-N71</x:f>
        <x:v>45.75</x:v>
      </x:c>
      <x:c r="P71" s="16" t="n">
        <x:f>IFERROR(O71/M71,0)</x:f>
        <x:v>0.5185898889140784</x:v>
      </x:c>
      <x:c r="Q71" t="n">
        <x:f>YEAR(B71)</x:f>
        <x:v>2024</x:v>
      </x:c>
      <x:c r="R71" t="str">
        <x:f>TEXT(B71,"yyyy-mm")</x:f>
        <x:v>2024-03</x:v>
      </x:c>
    </x:row>
    <x:row r="72">
      <x:c r="A72" t="n">
        <x:v>10288</x:v>
      </x:c>
      <x:c r="B72" s="10" t="n">
        <x:v>45362</x:v>
      </x:c>
      <x:c r="C72" t="str">
        <x:v>P007</x:v>
      </x:c>
      <x:c r="D72" t="str">
        <x:v>Headset</x:v>
      </x:c>
      <x:c r="E72" t="str">
        <x:v>Accessories</x:v>
      </x:c>
      <x:c r="F72" t="str">
        <x:v>North</x:v>
      </x:c>
      <x:c r="G72" t="str">
        <x:v>Online</x:v>
      </x:c>
      <x:c r="H72" t="str">
        <x:v>Completed</x:v>
      </x:c>
      <x:c r="I72" t="n">
        <x:v>4</x:v>
      </x:c>
      <x:c r="J72" s="12" t="n">
        <x:v>70.62</x:v>
      </x:c>
      <x:c r="K72" s="12" t="n">
        <x:v>35.04</x:v>
      </x:c>
      <x:c r="L72" s="14" t="n">
        <x:v>0.15</x:v>
      </x:c>
      <x:c r="M72" s="12" t="n">
        <x:f>IF(H72="Completed",I72*J72*(1-L72),0)</x:f>
        <x:v>240.108</x:v>
      </x:c>
      <x:c r="N72" s="12" t="n">
        <x:f>IF(H72="Completed",I72*K72,0)</x:f>
        <x:v>140.16</x:v>
      </x:c>
      <x:c r="O72" s="12" t="n">
        <x:f>M72-N72</x:f>
        <x:v>99.94800000000001</x:v>
      </x:c>
      <x:c r="P72" s="16" t="n">
        <x:f>IFERROR(O72/M72,0)</x:f>
        <x:v>0.4162626817931931</x:v>
      </x:c>
      <x:c r="Q72" t="n">
        <x:f>YEAR(B72)</x:f>
        <x:v>2024</x:v>
      </x:c>
      <x:c r="R72" t="str">
        <x:f>TEXT(B72,"yyyy-mm")</x:f>
        <x:v>2024-03</x:v>
      </x:c>
    </x:row>
    <x:row r="73">
      <x:c r="A73" t="n">
        <x:v>10570</x:v>
      </x:c>
      <x:c r="B73" s="10" t="n">
        <x:v>45364</x:v>
      </x:c>
      <x:c r="C73" t="str">
        <x:v>P001</x:v>
      </x:c>
      <x:c r="D73" t="str">
        <x:v>Laptop</x:v>
      </x:c>
      <x:c r="E73" t="str">
        <x:v>Electronics</x:v>
      </x:c>
      <x:c r="F73" t="str">
        <x:v>South</x:v>
      </x:c>
      <x:c r="G73" t="str">
        <x:v>Partner</x:v>
      </x:c>
      <x:c r="H73" t="str">
        <x:v>Completed</x:v>
      </x:c>
      <x:c r="I73" t="n">
        <x:v>2</x:v>
      </x:c>
      <x:c r="J73" s="12" t="n">
        <x:v>943.99</x:v>
      </x:c>
      <x:c r="K73" s="12" t="n">
        <x:v>609.48</x:v>
      </x:c>
      <x:c r="L73" s="14" t="n">
        <x:v>0.05</x:v>
      </x:c>
      <x:c r="M73" s="12" t="n">
        <x:f>IF(H73="Completed",I73*J73*(1-L73),0)</x:f>
        <x:v>1793.581</x:v>
      </x:c>
      <x:c r="N73" s="12" t="n">
        <x:f>IF(H73="Completed",I73*K73,0)</x:f>
        <x:v>1218.96</x:v>
      </x:c>
      <x:c r="O73" s="12" t="n">
        <x:f>M73-N73</x:f>
        <x:v>574.6209999999999</x:v>
      </x:c>
      <x:c r="P73" s="16" t="n">
        <x:f>IFERROR(O73/M73,0)</x:f>
        <x:v>0.3203763866811702</x:v>
      </x:c>
      <x:c r="Q73" t="n">
        <x:f>YEAR(B73)</x:f>
        <x:v>2024</x:v>
      </x:c>
      <x:c r="R73" t="str">
        <x:f>TEXT(B73,"yyyy-mm")</x:f>
        <x:v>2024-03</x:v>
      </x:c>
    </x:row>
    <x:row r="74">
      <x:c r="A74" t="n">
        <x:v>10722</x:v>
      </x:c>
      <x:c r="B74" s="10" t="n">
        <x:v>45364</x:v>
      </x:c>
      <x:c r="C74" t="str">
        <x:v>P007</x:v>
      </x:c>
      <x:c r="D74" t="str">
        <x:v>Headset</x:v>
      </x:c>
      <x:c r="E74" t="str">
        <x:v>Accessories</x:v>
      </x:c>
      <x:c r="F74" t="str">
        <x:v>South</x:v>
      </x:c>
      <x:c r="G74" t="str">
        <x:v>Online</x:v>
      </x:c>
      <x:c r="H74" t="str">
        <x:v>Completed</x:v>
      </x:c>
      <x:c r="I74" t="n">
        <x:v>3</x:v>
      </x:c>
      <x:c r="J74" s="12" t="n">
        <x:v>74.61</x:v>
      </x:c>
      <x:c r="K74" s="12" t="n">
        <x:v>35.25</x:v>
      </x:c>
      <x:c r="L74" s="14" t="n">
        <x:v>0.15</x:v>
      </x:c>
      <x:c r="M74" s="12" t="n">
        <x:f>IF(H74="Completed",I74*J74*(1-L74),0)</x:f>
        <x:v>190.25549999999998</x:v>
      </x:c>
      <x:c r="N74" s="12" t="n">
        <x:f>IF(H74="Completed",I74*K74,0)</x:f>
        <x:v>105.75</x:v>
      </x:c>
      <x:c r="O74" s="12" t="n">
        <x:f>M74-N74</x:f>
        <x:v>84.50549999999998</x:v>
      </x:c>
      <x:c r="P74" s="16" t="n">
        <x:f>IFERROR(O74/M74,0)</x:f>
        <x:v>0.4441684997279973</x:v>
      </x:c>
      <x:c r="Q74" t="n">
        <x:f>YEAR(B74)</x:f>
        <x:v>2024</x:v>
      </x:c>
      <x:c r="R74" t="str">
        <x:f>TEXT(B74,"yyyy-mm")</x:f>
        <x:v>2024-03</x:v>
      </x:c>
    </x:row>
    <x:row r="75">
      <x:c r="A75" t="n">
        <x:v>10555</x:v>
      </x:c>
      <x:c r="B75" s="10" t="n">
        <x:v>45365</x:v>
      </x:c>
      <x:c r="C75" t="str">
        <x:v>P008</x:v>
      </x:c>
      <x:c r="D75" t="str">
        <x:v>Webcam</x:v>
      </x:c>
      <x:c r="E75" t="str">
        <x:v>Electronics</x:v>
      </x:c>
      <x:c r="F75" t="str">
        <x:v>North</x:v>
      </x:c>
      <x:c r="G75" t="str">
        <x:v>Retail</x:v>
      </x:c>
      <x:c r="H75" t="str">
        <x:v>Completed</x:v>
      </x:c>
      <x:c r="I75" t="n">
        <x:v>2</x:v>
      </x:c>
      <x:c r="J75" s="12" t="n">
        <x:v>87.09</x:v>
      </x:c>
      <x:c r="K75" s="12" t="n">
        <x:v>42.77</x:v>
      </x:c>
      <x:c r="L75" s="14" t="n">
        <x:v>0</x:v>
      </x:c>
      <x:c r="M75" s="12" t="n">
        <x:f>IF(H75="Completed",I75*J75*(1-L75),0)</x:f>
        <x:v>174.18</x:v>
      </x:c>
      <x:c r="N75" s="12" t="n">
        <x:f>IF(H75="Completed",I75*K75,0)</x:f>
        <x:v>85.54</x:v>
      </x:c>
      <x:c r="O75" s="12" t="n">
        <x:f>M75-N75</x:f>
        <x:v>88.64</x:v>
      </x:c>
      <x:c r="P75" s="16" t="n">
        <x:f>IFERROR(O75/M75,0)</x:f>
        <x:v>0.50889884028017</x:v>
      </x:c>
      <x:c r="Q75" t="n">
        <x:f>YEAR(B75)</x:f>
        <x:v>2024</x:v>
      </x:c>
      <x:c r="R75" t="str">
        <x:f>TEXT(B75,"yyyy-mm")</x:f>
        <x:v>2024-03</x:v>
      </x:c>
    </x:row>
    <x:row r="76">
      <x:c r="A76" t="n">
        <x:v>10033</x:v>
      </x:c>
      <x:c r="B76" s="10" t="n">
        <x:v>45366</x:v>
      </x:c>
      <x:c r="C76" t="str">
        <x:v>P001</x:v>
      </x:c>
      <x:c r="D76" t="str">
        <x:v>Laptop</x:v>
      </x:c>
      <x:c r="E76" t="str">
        <x:v>Electronics</x:v>
      </x:c>
      <x:c r="F76" t="str">
        <x:v>South</x:v>
      </x:c>
      <x:c r="G76" t="str">
        <x:v>Retail</x:v>
      </x:c>
      <x:c r="H76" t="str">
        <x:v>Completed</x:v>
      </x:c>
      <x:c r="I76" t="n">
        <x:v>4</x:v>
      </x:c>
      <x:c r="J76" s="12" t="n">
        <x:v>927.02</x:v>
      </x:c>
      <x:c r="K76" s="12" t="n">
        <x:v>623.28</x:v>
      </x:c>
      <x:c r="L76" s="14" t="n">
        <x:v>0</x:v>
      </x:c>
      <x:c r="M76" s="12" t="n">
        <x:f>IF(H76="Completed",I76*J76*(1-L76),0)</x:f>
        <x:v>3708.08</x:v>
      </x:c>
      <x:c r="N76" s="12" t="n">
        <x:f>IF(H76="Completed",I76*K76,0)</x:f>
        <x:v>2493.12</x:v>
      </x:c>
      <x:c r="O76" s="12" t="n">
        <x:f>M76-N76</x:f>
        <x:v>1214.96</x:v>
      </x:c>
      <x:c r="P76" s="16" t="n">
        <x:f>IFERROR(O76/M76,0)</x:f>
        <x:v>0.32765204634204226</x:v>
      </x:c>
      <x:c r="Q76" t="n">
        <x:f>YEAR(B76)</x:f>
        <x:v>2024</x:v>
      </x:c>
      <x:c r="R76" t="str">
        <x:f>TEXT(B76,"yyyy-mm")</x:f>
        <x:v>2024-03</x:v>
      </x:c>
    </x:row>
    <x:row r="77">
      <x:c r="A77" t="n">
        <x:v>10084</x:v>
      </x:c>
      <x:c r="B77" s="10" t="n">
        <x:v>45367</x:v>
      </x:c>
      <x:c r="C77" t="str">
        <x:v>P001</x:v>
      </x:c>
      <x:c r="D77" t="str">
        <x:v>Laptop</x:v>
      </x:c>
      <x:c r="E77" t="str">
        <x:v>Electronics</x:v>
      </x:c>
      <x:c r="F77" t="str">
        <x:v>North</x:v>
      </x:c>
      <x:c r="G77" t="str">
        <x:v>Retail</x:v>
      </x:c>
      <x:c r="H77" t="str">
        <x:v>Completed</x:v>
      </x:c>
      <x:c r="I77" t="n">
        <x:v>2</x:v>
      </x:c>
      <x:c r="J77" s="12" t="n">
        <x:v>956.41</x:v>
      </x:c>
      <x:c r="K77" s="12" t="n">
        <x:v>611.27</x:v>
      </x:c>
      <x:c r="L77" s="14" t="n">
        <x:v>0</x:v>
      </x:c>
      <x:c r="M77" s="12" t="n">
        <x:f>IF(H77="Completed",I77*J77*(1-L77),0)</x:f>
        <x:v>1912.82</x:v>
      </x:c>
      <x:c r="N77" s="12" t="n">
        <x:f>IF(H77="Completed",I77*K77,0)</x:f>
        <x:v>1222.54</x:v>
      </x:c>
      <x:c r="O77" s="12" t="n">
        <x:f>M77-N77</x:f>
        <x:v>690.28</x:v>
      </x:c>
      <x:c r="P77" s="16" t="n">
        <x:f>IFERROR(O77/M77,0)</x:f>
        <x:v>0.36087033803494317</x:v>
      </x:c>
      <x:c r="Q77" t="n">
        <x:f>YEAR(B77)</x:f>
        <x:v>2024</x:v>
      </x:c>
      <x:c r="R77" t="str">
        <x:f>TEXT(B77,"yyyy-mm")</x:f>
        <x:v>2024-03</x:v>
      </x:c>
    </x:row>
    <x:row r="78">
      <x:c r="A78" t="n">
        <x:v>10357</x:v>
      </x:c>
      <x:c r="B78" s="10" t="n">
        <x:v>45368</x:v>
      </x:c>
      <x:c r="C78" t="str">
        <x:v>P001</x:v>
      </x:c>
      <x:c r="D78" t="str">
        <x:v>Laptop</x:v>
      </x:c>
      <x:c r="E78" t="str">
        <x:v>Electronics</x:v>
      </x:c>
      <x:c r="F78" t="str">
        <x:v>North</x:v>
      </x:c>
      <x:c r="G78" t="str">
        <x:v>Retail</x:v>
      </x:c>
      <x:c r="H78" t="str">
        <x:v>Completed</x:v>
      </x:c>
      <x:c r="I78" t="n">
        <x:v>1</x:v>
      </x:c>
      <x:c r="J78" s="12" t="n">
        <x:v>950.69</x:v>
      </x:c>
      <x:c r="K78" s="12" t="n">
        <x:v>633.31</x:v>
      </x:c>
      <x:c r="L78" s="14" t="n">
        <x:v>0</x:v>
      </x:c>
      <x:c r="M78" s="12" t="n">
        <x:f>IF(H78="Completed",I78*J78*(1-L78),0)</x:f>
        <x:v>950.69</x:v>
      </x:c>
      <x:c r="N78" s="12" t="n">
        <x:f>IF(H78="Completed",I78*K78,0)</x:f>
        <x:v>633.31</x:v>
      </x:c>
      <x:c r="O78" s="12" t="n">
        <x:f>M78-N78</x:f>
        <x:v>317.3800000000001</x:v>
      </x:c>
      <x:c r="P78" s="16" t="n">
        <x:f>IFERROR(O78/M78,0)</x:f>
        <x:v>0.3338417360022721</x:v>
      </x:c>
      <x:c r="Q78" t="n">
        <x:f>YEAR(B78)</x:f>
        <x:v>2024</x:v>
      </x:c>
      <x:c r="R78" t="str">
        <x:f>TEXT(B78,"yyyy-mm")</x:f>
        <x:v>2024-03</x:v>
      </x:c>
    </x:row>
    <x:row r="79">
      <x:c r="A79" t="n">
        <x:v>10429</x:v>
      </x:c>
      <x:c r="B79" s="10" t="n">
        <x:v>45368</x:v>
      </x:c>
      <x:c r="C79" t="str">
        <x:v>P002</x:v>
      </x:c>
      <x:c r="D79" t="str">
        <x:v>Monitor</x:v>
      </x:c>
      <x:c r="E79" t="str">
        <x:v>Electronics</x:v>
      </x:c>
      <x:c r="F79" t="str">
        <x:v>South</x:v>
      </x:c>
      <x:c r="G79" t="str">
        <x:v>Online</x:v>
      </x:c>
      <x:c r="H79" t="str">
        <x:v>Completed</x:v>
      </x:c>
      <x:c r="I79" t="n">
        <x:v>3</x:v>
      </x:c>
      <x:c r="J79" s="12" t="n">
        <x:v>285.71</x:v>
      </x:c>
      <x:c r="K79" s="12" t="n">
        <x:v>167.45</x:v>
      </x:c>
      <x:c r="L79" s="14" t="n">
        <x:v>0</x:v>
      </x:c>
      <x:c r="M79" s="12" t="n">
        <x:f>IF(H79="Completed",I79*J79*(1-L79),0)</x:f>
        <x:v>857.1299999999999</x:v>
      </x:c>
      <x:c r="N79" s="12" t="n">
        <x:f>IF(H79="Completed",I79*K79,0)</x:f>
        <x:v>502.34999999999997</x:v>
      </x:c>
      <x:c r="O79" s="12" t="n">
        <x:f>M79-N79</x:f>
        <x:v>354.7799999999999</x:v>
      </x:c>
      <x:c r="P79" s="16" t="n">
        <x:f>IFERROR(O79/M79,0)</x:f>
        <x:v>0.4139162087431311</x:v>
      </x:c>
      <x:c r="Q79" t="n">
        <x:f>YEAR(B79)</x:f>
        <x:v>2024</x:v>
      </x:c>
      <x:c r="R79" t="str">
        <x:f>TEXT(B79,"yyyy-mm")</x:f>
        <x:v>2024-03</x:v>
      </x:c>
    </x:row>
    <x:row r="80">
      <x:c r="A80" t="n">
        <x:v>10240</x:v>
      </x:c>
      <x:c r="B80" s="10" t="n">
        <x:v>45371</x:v>
      </x:c>
      <x:c r="C80" t="str">
        <x:v>P002</x:v>
      </x:c>
      <x:c r="D80" t="str">
        <x:v>Monitor</x:v>
      </x:c>
      <x:c r="E80" t="str">
        <x:v>Electronics</x:v>
      </x:c>
      <x:c r="F80" t="str">
        <x:v>Scotland</x:v>
      </x:c>
      <x:c r="G80" t="str">
        <x:v>Partner</x:v>
      </x:c>
      <x:c r="H80" t="str">
        <x:v>Completed</x:v>
      </x:c>
      <x:c r="I80" t="n">
        <x:v>1</x:v>
      </x:c>
      <x:c r="J80" s="12" t="n">
        <x:v>287.16</x:v>
      </x:c>
      <x:c r="K80" s="12" t="n">
        <x:v>168</x:v>
      </x:c>
      <x:c r="L80" s="14" t="n">
        <x:v>0.1</x:v>
      </x:c>
      <x:c r="M80" s="12" t="n">
        <x:f>IF(H80="Completed",I80*J80*(1-L80),0)</x:f>
        <x:v>258.444</x:v>
      </x:c>
      <x:c r="N80" s="12" t="n">
        <x:f>IF(H80="Completed",I80*K80,0)</x:f>
        <x:v>168</x:v>
      </x:c>
      <x:c r="O80" s="12" t="n">
        <x:f>M80-N80</x:f>
        <x:v>90.44400000000002</x:v>
      </x:c>
      <x:c r="P80" s="16" t="n">
        <x:f>IFERROR(O80/M80,0)</x:f>
        <x:v>0.3499558898639551</x:v>
      </x:c>
      <x:c r="Q80" t="n">
        <x:f>YEAR(B80)</x:f>
        <x:v>2024</x:v>
      </x:c>
      <x:c r="R80" t="str">
        <x:f>TEXT(B80,"yyyy-mm")</x:f>
        <x:v>2024-03</x:v>
      </x:c>
    </x:row>
    <x:row r="81">
      <x:c r="A81" t="n">
        <x:v>10111</x:v>
      </x:c>
      <x:c r="B81" s="10" t="n">
        <x:v>45372</x:v>
      </x:c>
      <x:c r="C81" t="str">
        <x:v>P007</x:v>
      </x:c>
      <x:c r="D81" t="str">
        <x:v>Headset</x:v>
      </x:c>
      <x:c r="E81" t="str">
        <x:v>Accessories</x:v>
      </x:c>
      <x:c r="F81" t="str">
        <x:v>South</x:v>
      </x:c>
      <x:c r="G81" t="str">
        <x:v>Retail</x:v>
      </x:c>
      <x:c r="H81" t="str">
        <x:v>Completed</x:v>
      </x:c>
      <x:c r="I81" t="n">
        <x:v>2</x:v>
      </x:c>
      <x:c r="J81" s="12" t="n">
        <x:v>73.06</x:v>
      </x:c>
      <x:c r="K81" s="12" t="n">
        <x:v>35.1</x:v>
      </x:c>
      <x:c r="L81" s="14" t="n">
        <x:v>0.05</x:v>
      </x:c>
      <x:c r="M81" s="12" t="n">
        <x:f>IF(H81="Completed",I81*J81*(1-L81),0)</x:f>
        <x:v>138.814</x:v>
      </x:c>
      <x:c r="N81" s="12" t="n">
        <x:f>IF(H81="Completed",I81*K81,0)</x:f>
        <x:v>70.2</x:v>
      </x:c>
      <x:c r="O81" s="12" t="n">
        <x:f>M81-N81</x:f>
        <x:v>68.61399999999999</x:v>
      </x:c>
      <x:c r="P81" s="16" t="n">
        <x:f>IFERROR(O81/M81,0)</x:f>
        <x:v>0.4942873197227945</x:v>
      </x:c>
      <x:c r="Q81" t="n">
        <x:f>YEAR(B81)</x:f>
        <x:v>2024</x:v>
      </x:c>
      <x:c r="R81" t="str">
        <x:f>TEXT(B81,"yyyy-mm")</x:f>
        <x:v>2024-03</x:v>
      </x:c>
    </x:row>
    <x:row r="82">
      <x:c r="A82" t="n">
        <x:v>10186</x:v>
      </x:c>
      <x:c r="B82" s="10" t="n">
        <x:v>45372</x:v>
      </x:c>
      <x:c r="C82" t="str">
        <x:v>P007</x:v>
      </x:c>
      <x:c r="D82" t="str">
        <x:v>Headset</x:v>
      </x:c>
      <x:c r="E82" t="str">
        <x:v>Accessories</x:v>
      </x:c>
      <x:c r="F82" t="str">
        <x:v>South</x:v>
      </x:c>
      <x:c r="G82" t="str">
        <x:v>Online</x:v>
      </x:c>
      <x:c r="H82" t="str">
        <x:v>Completed</x:v>
      </x:c>
      <x:c r="I82" t="n">
        <x:v>2</x:v>
      </x:c>
      <x:c r="J82" s="12" t="n">
        <x:v>73.17</x:v>
      </x:c>
      <x:c r="K82" s="12" t="n">
        <x:v>34.84</x:v>
      </x:c>
      <x:c r="L82" s="14" t="n">
        <x:v>0</x:v>
      </x:c>
      <x:c r="M82" s="12" t="n">
        <x:f>IF(H82="Completed",I82*J82*(1-L82),0)</x:f>
        <x:v>146.34</x:v>
      </x:c>
      <x:c r="N82" s="12" t="n">
        <x:f>IF(H82="Completed",I82*K82,0)</x:f>
        <x:v>69.68</x:v>
      </x:c>
      <x:c r="O82" s="12" t="n">
        <x:f>M82-N82</x:f>
        <x:v>76.66</x:v>
      </x:c>
      <x:c r="P82" s="16" t="n">
        <x:f>IFERROR(O82/M82,0)</x:f>
        <x:v>0.5238485718190515</x:v>
      </x:c>
      <x:c r="Q82" t="n">
        <x:f>YEAR(B82)</x:f>
        <x:v>2024</x:v>
      </x:c>
      <x:c r="R82" t="str">
        <x:f>TEXT(B82,"yyyy-mm")</x:f>
        <x:v>2024-03</x:v>
      </x:c>
    </x:row>
    <x:row r="83">
      <x:c r="A83" t="n">
        <x:v>10647</x:v>
      </x:c>
      <x:c r="B83" s="10" t="n">
        <x:v>45372</x:v>
      </x:c>
      <x:c r="C83" t="str">
        <x:v>P008</x:v>
      </x:c>
      <x:c r="D83" t="str">
        <x:v>Webcam</x:v>
      </x:c>
      <x:c r="E83" t="str">
        <x:v>Electronics</x:v>
      </x:c>
      <x:c r="F83" t="str">
        <x:v>North</x:v>
      </x:c>
      <x:c r="G83" t="str">
        <x:v>Retail</x:v>
      </x:c>
      <x:c r="H83" t="str">
        <x:v>Completed</x:v>
      </x:c>
      <x:c r="I83" t="n">
        <x:v>2</x:v>
      </x:c>
      <x:c r="J83" s="12" t="n">
        <x:v>89.17</x:v>
      </x:c>
      <x:c r="K83" s="12" t="n">
        <x:v>42.6</x:v>
      </x:c>
      <x:c r="L83" s="14" t="n">
        <x:v>0</x:v>
      </x:c>
      <x:c r="M83" s="12" t="n">
        <x:f>IF(H83="Completed",I83*J83*(1-L83),0)</x:f>
        <x:v>178.34</x:v>
      </x:c>
      <x:c r="N83" s="12" t="n">
        <x:f>IF(H83="Completed",I83*K83,0)</x:f>
        <x:v>85.2</x:v>
      </x:c>
      <x:c r="O83" s="12" t="n">
        <x:f>M83-N83</x:f>
        <x:v>93.14</x:v>
      </x:c>
      <x:c r="P83" s="16" t="n">
        <x:f>IFERROR(O83/M83,0)</x:f>
        <x:v>0.5222608500616799</x:v>
      </x:c>
      <x:c r="Q83" t="n">
        <x:f>YEAR(B83)</x:f>
        <x:v>2024</x:v>
      </x:c>
      <x:c r="R83" t="str">
        <x:f>TEXT(B83,"yyyy-mm")</x:f>
        <x:v>2024-03</x:v>
      </x:c>
    </x:row>
    <x:row r="84">
      <x:c r="A84" t="n">
        <x:v>10762</x:v>
      </x:c>
      <x:c r="B84" s="10" t="n">
        <x:v>45372</x:v>
      </x:c>
      <x:c r="C84" t="str">
        <x:v>P007</x:v>
      </x:c>
      <x:c r="D84" t="str">
        <x:v>Headset</x:v>
      </x:c>
      <x:c r="E84" t="str">
        <x:v>Accessories</x:v>
      </x:c>
      <x:c r="F84" t="str">
        <x:v>North</x:v>
      </x:c>
      <x:c r="G84" t="str">
        <x:v>Retail</x:v>
      </x:c>
      <x:c r="H84" t="str">
        <x:v>Completed</x:v>
      </x:c>
      <x:c r="I84" t="n">
        <x:v>1</x:v>
      </x:c>
      <x:c r="J84" s="12" t="n">
        <x:v>70.83</x:v>
      </x:c>
      <x:c r="K84" s="12" t="n">
        <x:v>34.36</x:v>
      </x:c>
      <x:c r="L84" s="14" t="n">
        <x:v>0</x:v>
      </x:c>
      <x:c r="M84" s="12" t="n">
        <x:f>IF(H84="Completed",I84*J84*(1-L84),0)</x:f>
        <x:v>70.83</x:v>
      </x:c>
      <x:c r="N84" s="12" t="n">
        <x:f>IF(H84="Completed",I84*K84,0)</x:f>
        <x:v>34.36</x:v>
      </x:c>
      <x:c r="O84" s="12" t="n">
        <x:f>M84-N84</x:f>
        <x:v>36.47</x:v>
      </x:c>
      <x:c r="P84" s="16" t="n">
        <x:f>IFERROR(O84/M84,0)</x:f>
        <x:v>0.5148948185796979</x:v>
      </x:c>
      <x:c r="Q84" t="n">
        <x:f>YEAR(B84)</x:f>
        <x:v>2024</x:v>
      </x:c>
      <x:c r="R84" t="str">
        <x:f>TEXT(B84,"yyyy-mm")</x:f>
        <x:v>2024-03</x:v>
      </x:c>
    </x:row>
    <x:row r="85">
      <x:c r="A85" t="n">
        <x:v>10091</x:v>
      </x:c>
      <x:c r="B85" s="10" t="n">
        <x:v>45374</x:v>
      </x:c>
      <x:c r="C85" t="str">
        <x:v>P001</x:v>
      </x:c>
      <x:c r="D85" t="str">
        <x:v>Laptop</x:v>
      </x:c>
      <x:c r="E85" t="str">
        <x:v>Electronics</x:v>
      </x:c>
      <x:c r="F85" t="str">
        <x:v>South</x:v>
      </x:c>
      <x:c r="G85" t="str">
        <x:v>Retail</x:v>
      </x:c>
      <x:c r="H85" t="str">
        <x:v>Completed</x:v>
      </x:c>
      <x:c r="I85" t="n">
        <x:v>4</x:v>
      </x:c>
      <x:c r="J85" s="12" t="n">
        <x:v>907.14</x:v>
      </x:c>
      <x:c r="K85" s="12" t="n">
        <x:v>628.5</x:v>
      </x:c>
      <x:c r="L85" s="14" t="n">
        <x:v>0</x:v>
      </x:c>
      <x:c r="M85" s="12" t="n">
        <x:f>IF(H85="Completed",I85*J85*(1-L85),0)</x:f>
        <x:v>3628.56</x:v>
      </x:c>
      <x:c r="N85" s="12" t="n">
        <x:f>IF(H85="Completed",I85*K85,0)</x:f>
        <x:v>2514</x:v>
      </x:c>
      <x:c r="O85" s="12" t="n">
        <x:f>M85-N85</x:f>
        <x:v>1114.56</x:v>
      </x:c>
      <x:c r="P85" s="16" t="n">
        <x:f>IFERROR(O85/M85,0)</x:f>
        <x:v>0.3071631721674714</x:v>
      </x:c>
      <x:c r="Q85" t="n">
        <x:f>YEAR(B85)</x:f>
        <x:v>2024</x:v>
      </x:c>
      <x:c r="R85" t="str">
        <x:f>TEXT(B85,"yyyy-mm")</x:f>
        <x:v>2024-03</x:v>
      </x:c>
    </x:row>
    <x:row r="86">
      <x:c r="A86" t="n">
        <x:v>10692</x:v>
      </x:c>
      <x:c r="B86" s="10" t="n">
        <x:v>45374</x:v>
      </x:c>
      <x:c r="C86" t="str">
        <x:v>P008</x:v>
      </x:c>
      <x:c r="D86" t="str">
        <x:v>Webcam</x:v>
      </x:c>
      <x:c r="E86" t="str">
        <x:v>Electronics</x:v>
      </x:c>
      <x:c r="F86" t="str">
        <x:v>South</x:v>
      </x:c>
      <x:c r="G86" t="str">
        <x:v>Online</x:v>
      </x:c>
      <x:c r="H86" t="str">
        <x:v>Completed</x:v>
      </x:c>
      <x:c r="I86" t="n">
        <x:v>3</x:v>
      </x:c>
      <x:c r="J86" s="12" t="n">
        <x:v>90.45</x:v>
      </x:c>
      <x:c r="K86" s="12" t="n">
        <x:v>41.79</x:v>
      </x:c>
      <x:c r="L86" s="14" t="n">
        <x:v>0.05</x:v>
      </x:c>
      <x:c r="M86" s="12" t="n">
        <x:f>IF(H86="Completed",I86*J86*(1-L86),0)</x:f>
        <x:v>257.7825</x:v>
      </x:c>
      <x:c r="N86" s="12" t="n">
        <x:f>IF(H86="Completed",I86*K86,0)</x:f>
        <x:v>125.37</x:v>
      </x:c>
      <x:c r="O86" s="12" t="n">
        <x:f>M86-N86</x:f>
        <x:v>132.41250000000002</x:v>
      </x:c>
      <x:c r="P86" s="16" t="n">
        <x:f>IFERROR(O86/M86,0)</x:f>
        <x:v>0.5136597713188444</x:v>
      </x:c>
      <x:c r="Q86" t="n">
        <x:f>YEAR(B86)</x:f>
        <x:v>2024</x:v>
      </x:c>
      <x:c r="R86" t="str">
        <x:f>TEXT(B86,"yyyy-mm")</x:f>
        <x:v>2024-03</x:v>
      </x:c>
    </x:row>
    <x:row r="87">
      <x:c r="A87" t="n">
        <x:v>10729</x:v>
      </x:c>
      <x:c r="B87" s="10" t="n">
        <x:v>45374</x:v>
      </x:c>
      <x:c r="C87" t="str">
        <x:v>P007</x:v>
      </x:c>
      <x:c r="D87" t="str">
        <x:v>Headset</x:v>
      </x:c>
      <x:c r="E87" t="str">
        <x:v>Accessories</x:v>
      </x:c>
      <x:c r="F87" t="str">
        <x:v>Midlands</x:v>
      </x:c>
      <x:c r="G87" t="str">
        <x:v>Partner</x:v>
      </x:c>
      <x:c r="H87" t="str">
        <x:v>Completed</x:v>
      </x:c>
      <x:c r="I87" t="n">
        <x:v>2</x:v>
      </x:c>
      <x:c r="J87" s="12" t="n">
        <x:v>71.23</x:v>
      </x:c>
      <x:c r="K87" s="12" t="n">
        <x:v>35.52</x:v>
      </x:c>
      <x:c r="L87" s="14" t="n">
        <x:v>0</x:v>
      </x:c>
      <x:c r="M87" s="12" t="n">
        <x:f>IF(H87="Completed",I87*J87*(1-L87),0)</x:f>
        <x:v>142.46</x:v>
      </x:c>
      <x:c r="N87" s="12" t="n">
        <x:f>IF(H87="Completed",I87*K87,0)</x:f>
        <x:v>71.04</x:v>
      </x:c>
      <x:c r="O87" s="12" t="n">
        <x:f>M87-N87</x:f>
        <x:v>71.42</x:v>
      </x:c>
      <x:c r="P87" s="16" t="n">
        <x:f>IFERROR(O87/M87,0)</x:f>
        <x:v>0.5013337077074266</x:v>
      </x:c>
      <x:c r="Q87" t="n">
        <x:f>YEAR(B87)</x:f>
        <x:v>2024</x:v>
      </x:c>
      <x:c r="R87" t="str">
        <x:f>TEXT(B87,"yyyy-mm")</x:f>
        <x:v>2024-03</x:v>
      </x:c>
    </x:row>
    <x:row r="88">
      <x:c r="A88" t="n">
        <x:v>10673</x:v>
      </x:c>
      <x:c r="B88" s="10" t="n">
        <x:v>45378</x:v>
      </x:c>
      <x:c r="C88" t="str">
        <x:v>P003</x:v>
      </x:c>
      <x:c r="D88" t="str">
        <x:v>Keyboard</x:v>
      </x:c>
      <x:c r="E88" t="str">
        <x:v>Accessories</x:v>
      </x:c>
      <x:c r="F88" t="str">
        <x:v>Scotland</x:v>
      </x:c>
      <x:c r="G88" t="str">
        <x:v>Retail</x:v>
      </x:c>
      <x:c r="H88" t="str">
        <x:v>Completed</x:v>
      </x:c>
      <x:c r="I88" t="n">
        <x:v>2</x:v>
      </x:c>
      <x:c r="J88" s="12" t="n">
        <x:v>48.35</x:v>
      </x:c>
      <x:c r="K88" s="12" t="n">
        <x:v>26.05</x:v>
      </x:c>
      <x:c r="L88" s="14" t="n">
        <x:v>0.05</x:v>
      </x:c>
      <x:c r="M88" s="12" t="n">
        <x:f>IF(H88="Completed",I88*J88*(1-L88),0)</x:f>
        <x:v>91.865</x:v>
      </x:c>
      <x:c r="N88" s="12" t="n">
        <x:f>IF(H88="Completed",I88*K88,0)</x:f>
        <x:v>52.1</x:v>
      </x:c>
      <x:c r="O88" s="12" t="n">
        <x:f>M88-N88</x:f>
        <x:v>39.76499999999999</x:v>
      </x:c>
      <x:c r="P88" s="16" t="n">
        <x:f>IFERROR(O88/M88,0)</x:f>
        <x:v>0.4328634409187394</x:v>
      </x:c>
      <x:c r="Q88" t="n">
        <x:f>YEAR(B88)</x:f>
        <x:v>2024</x:v>
      </x:c>
      <x:c r="R88" t="str">
        <x:f>TEXT(B88,"yyyy-mm")</x:f>
        <x:v>2024-03</x:v>
      </x:c>
    </x:row>
    <x:row r="89">
      <x:c r="A89" t="n">
        <x:v>10820</x:v>
      </x:c>
      <x:c r="B89" s="10" t="n">
        <x:v>45379</x:v>
      </x:c>
      <x:c r="C89" t="str">
        <x:v>P001</x:v>
      </x:c>
      <x:c r="D89" t="str">
        <x:v>Laptop</x:v>
      </x:c>
      <x:c r="E89" t="str">
        <x:v>Electronics</x:v>
      </x:c>
      <x:c r="F89" t="str">
        <x:v>North</x:v>
      </x:c>
      <x:c r="G89" t="str">
        <x:v>Online</x:v>
      </x:c>
      <x:c r="H89" t="str">
        <x:v>Completed</x:v>
      </x:c>
      <x:c r="I89" t="n">
        <x:v>4</x:v>
      </x:c>
      <x:c r="J89" s="12" t="n">
        <x:v>906.07</x:v>
      </x:c>
      <x:c r="K89" s="12" t="n">
        <x:v>619.49</x:v>
      </x:c>
      <x:c r="L89" s="14" t="n">
        <x:v>0.15</x:v>
      </x:c>
      <x:c r="M89" s="12" t="n">
        <x:f>IF(H89="Completed",I89*J89*(1-L89),0)</x:f>
        <x:v>3080.638</x:v>
      </x:c>
      <x:c r="N89" s="12" t="n">
        <x:f>IF(H89="Completed",I89*K89,0)</x:f>
        <x:v>2477.96</x:v>
      </x:c>
      <x:c r="O89" s="12" t="n">
        <x:f>M89-N89</x:f>
        <x:v>602.6779999999999</x:v>
      </x:c>
      <x:c r="P89" s="16" t="n">
        <x:f>IFERROR(O89/M89,0)</x:f>
        <x:v>0.19563415110766014</x:v>
      </x:c>
      <x:c r="Q89" t="n">
        <x:f>YEAR(B89)</x:f>
        <x:v>2024</x:v>
      </x:c>
      <x:c r="R89" t="str">
        <x:f>TEXT(B89,"yyyy-mm")</x:f>
        <x:v>2024-03</x:v>
      </x:c>
    </x:row>
    <x:row r="90">
      <x:c r="A90" t="n">
        <x:v>10850</x:v>
      </x:c>
      <x:c r="B90" s="10" t="n">
        <x:v>45380</x:v>
      </x:c>
      <x:c r="C90" t="str">
        <x:v>P005</x:v>
      </x:c>
      <x:c r="D90" t="str">
        <x:v>Desk</x:v>
      </x:c>
      <x:c r="E90" t="str">
        <x:v>Furniture</x:v>
      </x:c>
      <x:c r="F90" t="str">
        <x:v>North</x:v>
      </x:c>
      <x:c r="G90" t="str">
        <x:v>Online</x:v>
      </x:c>
      <x:c r="H90" t="str">
        <x:v>Completed</x:v>
      </x:c>
      <x:c r="I90" t="n">
        <x:v>4</x:v>
      </x:c>
      <x:c r="J90" s="12" t="n">
        <x:v>284.12</x:v>
      </x:c>
      <x:c r="K90" s="12" t="n">
        <x:v>157.63</x:v>
      </x:c>
      <x:c r="L90" s="14" t="n">
        <x:v>0</x:v>
      </x:c>
      <x:c r="M90" s="12" t="n">
        <x:f>IF(H90="Completed",I90*J90*(1-L90),0)</x:f>
        <x:v>1136.48</x:v>
      </x:c>
      <x:c r="N90" s="12" t="n">
        <x:f>IF(H90="Completed",I90*K90,0)</x:f>
        <x:v>630.52</x:v>
      </x:c>
      <x:c r="O90" s="12" t="n">
        <x:f>M90-N90</x:f>
        <x:v>505.96000000000004</x:v>
      </x:c>
      <x:c r="P90" s="16" t="n">
        <x:f>IFERROR(O90/M90,0)</x:f>
        <x:v>0.4451992116007321</x:v>
      </x:c>
      <x:c r="Q90" t="n">
        <x:f>YEAR(B90)</x:f>
        <x:v>2024</x:v>
      </x:c>
      <x:c r="R90" t="str">
        <x:f>TEXT(B90,"yyyy-mm")</x:f>
        <x:v>2024-03</x:v>
      </x:c>
    </x:row>
    <x:row r="91">
      <x:c r="A91" t="n">
        <x:v>10511</x:v>
      </x:c>
      <x:c r="B91" s="10" t="n">
        <x:v>45382</x:v>
      </x:c>
      <x:c r="C91" t="str">
        <x:v>P002</x:v>
      </x:c>
      <x:c r="D91" t="str">
        <x:v>Monitor</x:v>
      </x:c>
      <x:c r="E91" t="str">
        <x:v>Electronics</x:v>
      </x:c>
      <x:c r="F91" t="str">
        <x:v>North</x:v>
      </x:c>
      <x:c r="G91" t="str">
        <x:v>Online</x:v>
      </x:c>
      <x:c r="H91" t="str">
        <x:v>Completed</x:v>
      </x:c>
      <x:c r="I91" t="n">
        <x:v>3</x:v>
      </x:c>
      <x:c r="J91" s="12" t="n">
        <x:v>284.12</x:v>
      </x:c>
      <x:c r="K91" s="12" t="n">
        <x:v>174.97</x:v>
      </x:c>
      <x:c r="L91" s="14" t="n">
        <x:v>0.15</x:v>
      </x:c>
      <x:c r="M91" s="12" t="n">
        <x:f>IF(H91="Completed",I91*J91*(1-L91),0)</x:f>
        <x:v>724.506</x:v>
      </x:c>
      <x:c r="N91" s="12" t="n">
        <x:f>IF(H91="Completed",I91*K91,0)</x:f>
        <x:v>524.91</x:v>
      </x:c>
      <x:c r="O91" s="12" t="n">
        <x:f>M91-N91</x:f>
        <x:v>199.596</x:v>
      </x:c>
      <x:c r="P91" s="16" t="n">
        <x:f>IFERROR(O91/M91,0)</x:f>
        <x:v>0.27549254250482397</x:v>
      </x:c>
      <x:c r="Q91" t="n">
        <x:f>YEAR(B91)</x:f>
        <x:v>2024</x:v>
      </x:c>
      <x:c r="R91" t="str">
        <x:f>TEXT(B91,"yyyy-mm")</x:f>
        <x:v>2024-03</x:v>
      </x:c>
    </x:row>
    <x:row r="92">
      <x:c r="A92" t="n">
        <x:v>10597</x:v>
      </x:c>
      <x:c r="B92" s="10" t="n">
        <x:v>45382</x:v>
      </x:c>
      <x:c r="C92" t="str">
        <x:v>P003</x:v>
      </x:c>
      <x:c r="D92" t="str">
        <x:v>Keyboard</x:v>
      </x:c>
      <x:c r="E92" t="str">
        <x:v>Accessories</x:v>
      </x:c>
      <x:c r="F92" t="str">
        <x:v>South</x:v>
      </x:c>
      <x:c r="G92" t="str">
        <x:v>Online</x:v>
      </x:c>
      <x:c r="H92" t="str">
        <x:v>Completed</x:v>
      </x:c>
      <x:c r="I92" t="n">
        <x:v>2</x:v>
      </x:c>
      <x:c r="J92" s="12" t="n">
        <x:v>48.38</x:v>
      </x:c>
      <x:c r="K92" s="12" t="n">
        <x:v>26.17</x:v>
      </x:c>
      <x:c r="L92" s="14" t="n">
        <x:v>0</x:v>
      </x:c>
      <x:c r="M92" s="12" t="n">
        <x:f>IF(H92="Completed",I92*J92*(1-L92),0)</x:f>
        <x:v>96.76</x:v>
      </x:c>
      <x:c r="N92" s="12" t="n">
        <x:f>IF(H92="Completed",I92*K92,0)</x:f>
        <x:v>52.34</x:v>
      </x:c>
      <x:c r="O92" s="12" t="n">
        <x:f>M92-N92</x:f>
        <x:v>44.42</x:v>
      </x:c>
      <x:c r="P92" s="16" t="n">
        <x:f>IFERROR(O92/M92,0)</x:f>
        <x:v>0.45907399751963623</x:v>
      </x:c>
      <x:c r="Q92" t="n">
        <x:f>YEAR(B92)</x:f>
        <x:v>2024</x:v>
      </x:c>
      <x:c r="R92" t="str">
        <x:f>TEXT(B92,"yyyy-mm")</x:f>
        <x:v>2024-03</x:v>
      </x:c>
    </x:row>
    <x:row r="93">
      <x:c r="A93" t="n">
        <x:v>10658</x:v>
      </x:c>
      <x:c r="B93" s="10" t="n">
        <x:v>45383</x:v>
      </x:c>
      <x:c r="C93" t="str">
        <x:v>P001</x:v>
      </x:c>
      <x:c r="D93" t="str">
        <x:v>Laptop</x:v>
      </x:c>
      <x:c r="E93" t="str">
        <x:v>Electronics</x:v>
      </x:c>
      <x:c r="F93" t="str">
        <x:v>Scotland</x:v>
      </x:c>
      <x:c r="G93" t="str">
        <x:v>Partner</x:v>
      </x:c>
      <x:c r="H93" t="str">
        <x:v>Completed</x:v>
      </x:c>
      <x:c r="I93" t="n">
        <x:v>4</x:v>
      </x:c>
      <x:c r="J93" s="12" t="n">
        <x:v>950.43</x:v>
      </x:c>
      <x:c r="K93" s="12" t="n">
        <x:v>637.6</x:v>
      </x:c>
      <x:c r="L93" s="14" t="n">
        <x:v>0</x:v>
      </x:c>
      <x:c r="M93" s="12" t="n">
        <x:f>IF(H93="Completed",I93*J93*(1-L93),0)</x:f>
        <x:v>3801.72</x:v>
      </x:c>
      <x:c r="N93" s="12" t="n">
        <x:f>IF(H93="Completed",I93*K93,0)</x:f>
        <x:v>2550.4</x:v>
      </x:c>
      <x:c r="O93" s="12" t="n">
        <x:f>M93-N93</x:f>
        <x:v>1251.3199999999997</x:v>
      </x:c>
      <x:c r="P93" s="16" t="n">
        <x:f>IFERROR(O93/M93,0)</x:f>
        <x:v>0.32914575507927984</x:v>
      </x:c>
      <x:c r="Q93" t="n">
        <x:f>YEAR(B93)</x:f>
        <x:v>2024</x:v>
      </x:c>
      <x:c r="R93" t="str">
        <x:f>TEXT(B93,"yyyy-mm")</x:f>
        <x:v>2024-04</x:v>
      </x:c>
    </x:row>
    <x:row r="94">
      <x:c r="A94" t="n">
        <x:v>10703</x:v>
      </x:c>
      <x:c r="B94" s="10" t="n">
        <x:v>45383</x:v>
      </x:c>
      <x:c r="C94" t="str">
        <x:v>P005</x:v>
      </x:c>
      <x:c r="D94" t="str">
        <x:v>Desk</x:v>
      </x:c>
      <x:c r="E94" t="str">
        <x:v>Furniture</x:v>
      </x:c>
      <x:c r="F94" t="str">
        <x:v>South</x:v>
      </x:c>
      <x:c r="G94" t="str">
        <x:v>Retail</x:v>
      </x:c>
      <x:c r="H94" t="str">
        <x:v>Completed</x:v>
      </x:c>
      <x:c r="I94" t="n">
        <x:v>4</x:v>
      </x:c>
      <x:c r="J94" s="12" t="n">
        <x:v>269.19</x:v>
      </x:c>
      <x:c r="K94" s="12" t="n">
        <x:v>153.01</x:v>
      </x:c>
      <x:c r="L94" s="14" t="n">
        <x:v>0.15</x:v>
      </x:c>
      <x:c r="M94" s="12" t="n">
        <x:f>IF(H94="Completed",I94*J94*(1-L94),0)</x:f>
        <x:v>915.246</x:v>
      </x:c>
      <x:c r="N94" s="12" t="n">
        <x:f>IF(H94="Completed",I94*K94,0)</x:f>
        <x:v>612.04</x:v>
      </x:c>
      <x:c r="O94" s="12" t="n">
        <x:f>M94-N94</x:f>
        <x:v>303.206</x:v>
      </x:c>
      <x:c r="P94" s="16" t="n">
        <x:f>IFERROR(O94/M94,0)</x:f>
        <x:v>0.3312836111821303</x:v>
      </x:c>
      <x:c r="Q94" t="n">
        <x:f>YEAR(B94)</x:f>
        <x:v>2024</x:v>
      </x:c>
      <x:c r="R94" t="str">
        <x:f>TEXT(B94,"yyyy-mm")</x:f>
        <x:v>2024-04</x:v>
      </x:c>
    </x:row>
    <x:row r="95">
      <x:c r="A95" t="n">
        <x:v>10816</x:v>
      </x:c>
      <x:c r="B95" s="10" t="n">
        <x:v>45383</x:v>
      </x:c>
      <x:c r="C95" t="str">
        <x:v>P006</x:v>
      </x:c>
      <x:c r="D95" t="str">
        <x:v>Chair</x:v>
      </x:c>
      <x:c r="E95" t="str">
        <x:v>Furniture</x:v>
      </x:c>
      <x:c r="F95" t="str">
        <x:v>Wales</x:v>
      </x:c>
      <x:c r="G95" t="str">
        <x:v>Online</x:v>
      </x:c>
      <x:c r="H95" t="str">
        <x:v>Cancelled</x:v>
      </x:c>
      <x:c r="I95" t="n">
        <x:v>2</x:v>
      </x:c>
      <x:c r="J95" s="12" t="n">
        <x:v>138.26</x:v>
      </x:c>
      <x:c r="K95" s="12" t="n">
        <x:v>69.8</x:v>
      </x:c>
      <x:c r="L95" s="14" t="n">
        <x:v>0.05</x:v>
      </x:c>
      <x:c r="M95" s="12" t="n">
        <x:f>IF(H95="Completed",I95*J95*(1-L95),0)</x:f>
        <x:v>0</x:v>
      </x:c>
      <x:c r="N95" s="12" t="n">
        <x:f>IF(H95="Completed",I95*K95,0)</x:f>
        <x:v>0</x:v>
      </x:c>
      <x:c r="O95" s="12" t="n">
        <x:f>M95-N95</x:f>
        <x:v>0</x:v>
      </x:c>
      <x:c r="P95" s="16" t="n">
        <x:f>IFERROR(O95/M95,0)</x:f>
        <x:v>0</x:v>
      </x:c>
      <x:c r="Q95" t="n">
        <x:f>YEAR(B95)</x:f>
        <x:v>2024</x:v>
      </x:c>
      <x:c r="R95" t="str">
        <x:f>TEXT(B95,"yyyy-mm")</x:f>
        <x:v>2024-04</x:v>
      </x:c>
    </x:row>
    <x:row r="96">
      <x:c r="A96" t="n">
        <x:v>10367</x:v>
      </x:c>
      <x:c r="B96" s="10" t="n">
        <x:v>45384</x:v>
      </x:c>
      <x:c r="C96" t="str">
        <x:v>P001</x:v>
      </x:c>
      <x:c r="D96" t="str">
        <x:v>Laptop</x:v>
      </x:c>
      <x:c r="E96" t="str">
        <x:v>Electronics</x:v>
      </x:c>
      <x:c r="F96" t="str">
        <x:v>South</x:v>
      </x:c>
      <x:c r="G96" t="str">
        <x:v>Online</x:v>
      </x:c>
      <x:c r="H96" t="str">
        <x:v>Completed</x:v>
      </x:c>
      <x:c r="I96" t="n">
        <x:v>2</x:v>
      </x:c>
      <x:c r="J96" s="12" t="n">
        <x:v>913.76</x:v>
      </x:c>
      <x:c r="K96" s="12" t="n">
        <x:v>626.64</x:v>
      </x:c>
      <x:c r="L96" s="14" t="n">
        <x:v>0</x:v>
      </x:c>
      <x:c r="M96" s="12" t="n">
        <x:f>IF(H96="Completed",I96*J96*(1-L96),0)</x:f>
        <x:v>1827.52</x:v>
      </x:c>
      <x:c r="N96" s="12" t="n">
        <x:f>IF(H96="Completed",I96*K96,0)</x:f>
        <x:v>1253.28</x:v>
      </x:c>
      <x:c r="O96" s="12" t="n">
        <x:f>M96-N96</x:f>
        <x:v>574.24</x:v>
      </x:c>
      <x:c r="P96" s="16" t="n">
        <x:f>IFERROR(O96/M96,0)</x:f>
        <x:v>0.31421817545088426</x:v>
      </x:c>
      <x:c r="Q96" t="n">
        <x:f>YEAR(B96)</x:f>
        <x:v>2024</x:v>
      </x:c>
      <x:c r="R96" t="str">
        <x:f>TEXT(B96,"yyyy-mm")</x:f>
        <x:v>2024-04</x:v>
      </x:c>
    </x:row>
    <x:row r="97">
      <x:c r="A97" t="n">
        <x:v>10384</x:v>
      </x:c>
      <x:c r="B97" s="10" t="n">
        <x:v>45385</x:v>
      </x:c>
      <x:c r="C97" t="str">
        <x:v>P007</x:v>
      </x:c>
      <x:c r="D97" t="str">
        <x:v>Headset</x:v>
      </x:c>
      <x:c r="E97" t="str">
        <x:v>Accessories</x:v>
      </x:c>
      <x:c r="F97" t="str">
        <x:v>Midlands</x:v>
      </x:c>
      <x:c r="G97" t="str">
        <x:v>Online</x:v>
      </x:c>
      <x:c r="H97" t="str">
        <x:v>Completed</x:v>
      </x:c>
      <x:c r="I97" t="n">
        <x:v>2</x:v>
      </x:c>
      <x:c r="J97" s="12" t="n">
        <x:v>70.06</x:v>
      </x:c>
      <x:c r="K97" s="12" t="n">
        <x:v>35.07</x:v>
      </x:c>
      <x:c r="L97" s="14" t="n">
        <x:v>0.05</x:v>
      </x:c>
      <x:c r="M97" s="12" t="n">
        <x:f>IF(H97="Completed",I97*J97*(1-L97),0)</x:f>
        <x:v>133.114</x:v>
      </x:c>
      <x:c r="N97" s="12" t="n">
        <x:f>IF(H97="Completed",I97*K97,0)</x:f>
        <x:v>70.14</x:v>
      </x:c>
      <x:c r="O97" s="12" t="n">
        <x:f>M97-N97</x:f>
        <x:v>62.974000000000004</x:v>
      </x:c>
      <x:c r="P97" s="16" t="n">
        <x:f>IFERROR(O97/M97,0)</x:f>
        <x:v>0.47308322190002555</x:v>
      </x:c>
      <x:c r="Q97" t="n">
        <x:f>YEAR(B97)</x:f>
        <x:v>2024</x:v>
      </x:c>
      <x:c r="R97" t="str">
        <x:f>TEXT(B97,"yyyy-mm")</x:f>
        <x:v>2024-04</x:v>
      </x:c>
    </x:row>
    <x:row r="98">
      <x:c r="A98" t="n">
        <x:v>10831</x:v>
      </x:c>
      <x:c r="B98" s="10" t="n">
        <x:v>45388</x:v>
      </x:c>
      <x:c r="C98" t="str">
        <x:v>P006</x:v>
      </x:c>
      <x:c r="D98" t="str">
        <x:v>Chair</x:v>
      </x:c>
      <x:c r="E98" t="str">
        <x:v>Furniture</x:v>
      </x:c>
      <x:c r="F98" t="str">
        <x:v>Midlands</x:v>
      </x:c>
      <x:c r="G98" t="str">
        <x:v>Partner</x:v>
      </x:c>
      <x:c r="H98" t="str">
        <x:v>Completed</x:v>
      </x:c>
      <x:c r="I98" t="n">
        <x:v>1</x:v>
      </x:c>
      <x:c r="J98" s="12" t="n">
        <x:v>134.48</x:v>
      </x:c>
      <x:c r="K98" s="12" t="n">
        <x:v>69.8</x:v>
      </x:c>
      <x:c r="L98" s="14" t="n">
        <x:v>0.05</x:v>
      </x:c>
      <x:c r="M98" s="12" t="n">
        <x:f>IF(H98="Completed",I98*J98*(1-L98),0)</x:f>
        <x:v>127.75599999999999</x:v>
      </x:c>
      <x:c r="N98" s="12" t="n">
        <x:f>IF(H98="Completed",I98*K98,0)</x:f>
        <x:v>69.8</x:v>
      </x:c>
      <x:c r="O98" s="12" t="n">
        <x:f>M98-N98</x:f>
        <x:v>57.95599999999999</x:v>
      </x:c>
      <x:c r="P98" s="16" t="n">
        <x:f>IFERROR(O98/M98,0)</x:f>
        <x:v>0.4536460127117317</x:v>
      </x:c>
      <x:c r="Q98" t="n">
        <x:f>YEAR(B98)</x:f>
        <x:v>2024</x:v>
      </x:c>
      <x:c r="R98" t="str">
        <x:f>TEXT(B98,"yyyy-mm")</x:f>
        <x:v>2024-04</x:v>
      </x:c>
    </x:row>
    <x:row r="99">
      <x:c r="A99" t="n">
        <x:v>10706</x:v>
      </x:c>
      <x:c r="B99" s="10" t="n">
        <x:v>45389</x:v>
      </x:c>
      <x:c r="C99" t="str">
        <x:v>P006</x:v>
      </x:c>
      <x:c r="D99" t="str">
        <x:v>Chair</x:v>
      </x:c>
      <x:c r="E99" t="str">
        <x:v>Furniture</x:v>
      </x:c>
      <x:c r="F99" t="str">
        <x:v>South</x:v>
      </x:c>
      <x:c r="G99" t="str">
        <x:v>Retail</x:v>
      </x:c>
      <x:c r="H99" t="str">
        <x:v>Completed</x:v>
      </x:c>
      <x:c r="I99" t="n">
        <x:v>2</x:v>
      </x:c>
      <x:c r="J99" s="12" t="n">
        <x:v>131.45</x:v>
      </x:c>
      <x:c r="K99" s="12" t="n">
        <x:v>67.02</x:v>
      </x:c>
      <x:c r="L99" s="14" t="n">
        <x:v>0</x:v>
      </x:c>
      <x:c r="M99" s="12" t="n">
        <x:f>IF(H99="Completed",I99*J99*(1-L99),0)</x:f>
        <x:v>262.9</x:v>
      </x:c>
      <x:c r="N99" s="12" t="n">
        <x:f>IF(H99="Completed",I99*K99,0)</x:f>
        <x:v>134.04</x:v>
      </x:c>
      <x:c r="O99" s="12" t="n">
        <x:f>M99-N99</x:f>
        <x:v>128.85999999999999</x:v>
      </x:c>
      <x:c r="P99" s="16" t="n">
        <x:f>IFERROR(O99/M99,0)</x:f>
        <x:v>0.4901483453784709</x:v>
      </x:c>
      <x:c r="Q99" t="n">
        <x:f>YEAR(B99)</x:f>
        <x:v>2024</x:v>
      </x:c>
      <x:c r="R99" t="str">
        <x:f>TEXT(B99,"yyyy-mm")</x:f>
        <x:v>2024-04</x:v>
      </x:c>
    </x:row>
    <x:row r="100">
      <x:c r="A100" t="n">
        <x:v>10124</x:v>
      </x:c>
      <x:c r="B100" s="10" t="n">
        <x:v>45391</x:v>
      </x:c>
      <x:c r="C100" t="str">
        <x:v>P004</x:v>
      </x:c>
      <x:c r="D100" t="str">
        <x:v>Mouse</x:v>
      </x:c>
      <x:c r="E100" t="str">
        <x:v>Accessories</x:v>
      </x:c>
      <x:c r="F100" t="str">
        <x:v>Midlands</x:v>
      </x:c>
      <x:c r="G100" t="str">
        <x:v>Online</x:v>
      </x:c>
      <x:c r="H100" t="str">
        <x:v>Cancelled</x:v>
      </x:c>
      <x:c r="I100" t="n">
        <x:v>2</x:v>
      </x:c>
      <x:c r="J100" s="12" t="n">
        <x:v>27.3</x:v>
      </x:c>
      <x:c r="K100" s="12" t="n">
        <x:v>13.21</x:v>
      </x:c>
      <x:c r="L100" s="14" t="n">
        <x:v>0.05</x:v>
      </x:c>
      <x:c r="M100" s="12" t="n">
        <x:f>IF(H100="Completed",I100*J100*(1-L100),0)</x:f>
        <x:v>0</x:v>
      </x:c>
      <x:c r="N100" s="12" t="n">
        <x:f>IF(H100="Completed",I100*K100,0)</x:f>
        <x:v>0</x:v>
      </x:c>
      <x:c r="O100" s="12" t="n">
        <x:f>M100-N100</x:f>
        <x:v>0</x:v>
      </x:c>
      <x:c r="P100" s="16" t="n">
        <x:f>IFERROR(O100/M100,0)</x:f>
        <x:v>0</x:v>
      </x:c>
      <x:c r="Q100" t="n">
        <x:f>YEAR(B100)</x:f>
        <x:v>2024</x:v>
      </x:c>
      <x:c r="R100" t="str">
        <x:f>TEXT(B100,"yyyy-mm")</x:f>
        <x:v>2024-04</x:v>
      </x:c>
    </x:row>
    <x:row r="101">
      <x:c r="A101" t="n">
        <x:v>10109</x:v>
      </x:c>
      <x:c r="B101" s="10" t="n">
        <x:v>45392</x:v>
      </x:c>
      <x:c r="C101" t="str">
        <x:v>P002</x:v>
      </x:c>
      <x:c r="D101" t="str">
        <x:v>Monitor</x:v>
      </x:c>
      <x:c r="E101" t="str">
        <x:v>Electronics</x:v>
      </x:c>
      <x:c r="F101" t="str">
        <x:v>North</x:v>
      </x:c>
      <x:c r="G101" t="str">
        <x:v>Online</x:v>
      </x:c>
      <x:c r="H101" t="str">
        <x:v>Completed</x:v>
      </x:c>
      <x:c r="I101" t="n">
        <x:v>4</x:v>
      </x:c>
      <x:c r="J101" s="12" t="n">
        <x:v>282.92</x:v>
      </x:c>
      <x:c r="K101" s="12" t="n">
        <x:v>167.08</x:v>
      </x:c>
      <x:c r="L101" s="14" t="n">
        <x:v>0</x:v>
      </x:c>
      <x:c r="M101" s="12" t="n">
        <x:f>IF(H101="Completed",I101*J101*(1-L101),0)</x:f>
        <x:v>1131.68</x:v>
      </x:c>
      <x:c r="N101" s="12" t="n">
        <x:f>IF(H101="Completed",I101*K101,0)</x:f>
        <x:v>668.32</x:v>
      </x:c>
      <x:c r="O101" s="12" t="n">
        <x:f>M101-N101</x:f>
        <x:v>463.36</x:v>
      </x:c>
      <x:c r="P101" s="16" t="n">
        <x:f>IFERROR(O101/M101,0)</x:f>
        <x:v>0.4094443658984872</x:v>
      </x:c>
      <x:c r="Q101" t="n">
        <x:f>YEAR(B101)</x:f>
        <x:v>2024</x:v>
      </x:c>
      <x:c r="R101" t="str">
        <x:f>TEXT(B101,"yyyy-mm")</x:f>
        <x:v>2024-04</x:v>
      </x:c>
    </x:row>
    <x:row r="102">
      <x:c r="A102" t="n">
        <x:v>10275</x:v>
      </x:c>
      <x:c r="B102" s="10" t="n">
        <x:v>45392</x:v>
      </x:c>
      <x:c r="C102" t="str">
        <x:v>P007</x:v>
      </x:c>
      <x:c r="D102" t="str">
        <x:v>Headset</x:v>
      </x:c>
      <x:c r="E102" t="str">
        <x:v>Accessories</x:v>
      </x:c>
      <x:c r="F102" t="str">
        <x:v>Scotland</x:v>
      </x:c>
      <x:c r="G102" t="str">
        <x:v>Online</x:v>
      </x:c>
      <x:c r="H102" t="str">
        <x:v>Cancelled</x:v>
      </x:c>
      <x:c r="I102" t="n">
        <x:v>2</x:v>
      </x:c>
      <x:c r="J102" s="12" t="n">
        <x:v>71.84</x:v>
      </x:c>
      <x:c r="K102" s="12" t="n">
        <x:v>35.65</x:v>
      </x:c>
      <x:c r="L102" s="14" t="n">
        <x:v>0.1</x:v>
      </x:c>
      <x:c r="M102" s="12" t="n">
        <x:f>IF(H102="Completed",I102*J102*(1-L102),0)</x:f>
        <x:v>0</x:v>
      </x:c>
      <x:c r="N102" s="12" t="n">
        <x:f>IF(H102="Completed",I102*K102,0)</x:f>
        <x:v>0</x:v>
      </x:c>
      <x:c r="O102" s="12" t="n">
        <x:f>M102-N102</x:f>
        <x:v>0</x:v>
      </x:c>
      <x:c r="P102" s="16" t="n">
        <x:f>IFERROR(O102/M102,0)</x:f>
        <x:v>0</x:v>
      </x:c>
      <x:c r="Q102" t="n">
        <x:f>YEAR(B102)</x:f>
        <x:v>2024</x:v>
      </x:c>
      <x:c r="R102" t="str">
        <x:f>TEXT(B102,"yyyy-mm")</x:f>
        <x:v>2024-04</x:v>
      </x:c>
    </x:row>
    <x:row r="103">
      <x:c r="A103" t="n">
        <x:v>10711</x:v>
      </x:c>
      <x:c r="B103" s="10" t="n">
        <x:v>45392</x:v>
      </x:c>
      <x:c r="C103" t="str">
        <x:v>P004</x:v>
      </x:c>
      <x:c r="D103" t="str">
        <x:v>Mouse</x:v>
      </x:c>
      <x:c r="E103" t="str">
        <x:v>Accessories</x:v>
      </x:c>
      <x:c r="F103" t="str">
        <x:v>Scotland</x:v>
      </x:c>
      <x:c r="G103" t="str">
        <x:v>Online</x:v>
      </x:c>
      <x:c r="H103" t="str">
        <x:v>Completed</x:v>
      </x:c>
      <x:c r="I103" t="n">
        <x:v>4</x:v>
      </x:c>
      <x:c r="J103" s="12" t="n">
        <x:v>27.08</x:v>
      </x:c>
      <x:c r="K103" s="12" t="n">
        <x:v>13.05</x:v>
      </x:c>
      <x:c r="L103" s="14" t="n">
        <x:v>0</x:v>
      </x:c>
      <x:c r="M103" s="12" t="n">
        <x:f>IF(H103="Completed",I103*J103*(1-L103),0)</x:f>
        <x:v>108.32</x:v>
      </x:c>
      <x:c r="N103" s="12" t="n">
        <x:f>IF(H103="Completed",I103*K103,0)</x:f>
        <x:v>52.2</x:v>
      </x:c>
      <x:c r="O103" s="12" t="n">
        <x:f>M103-N103</x:f>
        <x:v>56.11999999999999</x:v>
      </x:c>
      <x:c r="P103" s="16" t="n">
        <x:f>IFERROR(O103/M103,0)</x:f>
        <x:v>0.5180945347119645</x:v>
      </x:c>
      <x:c r="Q103" t="n">
        <x:f>YEAR(B103)</x:f>
        <x:v>2024</x:v>
      </x:c>
      <x:c r="R103" t="str">
        <x:f>TEXT(B103,"yyyy-mm")</x:f>
        <x:v>2024-04</x:v>
      </x:c>
    </x:row>
    <x:row r="104">
      <x:c r="A104" t="n">
        <x:v>10895</x:v>
      </x:c>
      <x:c r="B104" s="10" t="n">
        <x:v>45393</x:v>
      </x:c>
      <x:c r="C104" t="str">
        <x:v>P003</x:v>
      </x:c>
      <x:c r="D104" t="str">
        <x:v>Keyboard</x:v>
      </x:c>
      <x:c r="E104" t="str">
        <x:v>Accessories</x:v>
      </x:c>
      <x:c r="F104" t="str">
        <x:v>North</x:v>
      </x:c>
      <x:c r="G104" t="str">
        <x:v>Online</x:v>
      </x:c>
      <x:c r="H104" t="str">
        <x:v>Completed</x:v>
      </x:c>
      <x:c r="I104" t="n">
        <x:v>3</x:v>
      </x:c>
      <x:c r="J104" s="12" t="n">
        <x:v>48.58</x:v>
      </x:c>
      <x:c r="K104" s="12" t="n">
        <x:v>26.01</x:v>
      </x:c>
      <x:c r="L104" s="14" t="n">
        <x:v>0</x:v>
      </x:c>
      <x:c r="M104" s="12" t="n">
        <x:f>IF(H104="Completed",I104*J104*(1-L104),0)</x:f>
        <x:v>145.74</x:v>
      </x:c>
      <x:c r="N104" s="12" t="n">
        <x:f>IF(H104="Completed",I104*K104,0)</x:f>
        <x:v>78.03</x:v>
      </x:c>
      <x:c r="O104" s="12" t="n">
        <x:f>M104-N104</x:f>
        <x:v>67.71000000000001</x:v>
      </x:c>
      <x:c r="P104" s="16" t="n">
        <x:f>IFERROR(O104/M104,0)</x:f>
        <x:v>0.46459448332647185</x:v>
      </x:c>
      <x:c r="Q104" t="n">
        <x:f>YEAR(B104)</x:f>
        <x:v>2024</x:v>
      </x:c>
      <x:c r="R104" t="str">
        <x:f>TEXT(B104,"yyyy-mm")</x:f>
        <x:v>2024-04</x:v>
      </x:c>
    </x:row>
    <x:row r="105">
      <x:c r="A105" t="n">
        <x:v>10788</x:v>
      </x:c>
      <x:c r="B105" s="10" t="n">
        <x:v>45394</x:v>
      </x:c>
      <x:c r="C105" t="str">
        <x:v>P004</x:v>
      </x:c>
      <x:c r="D105" t="str">
        <x:v>Mouse</x:v>
      </x:c>
      <x:c r="E105" t="str">
        <x:v>Accessories</x:v>
      </x:c>
      <x:c r="F105" t="str">
        <x:v>South</x:v>
      </x:c>
      <x:c r="G105" t="str">
        <x:v>Retail</x:v>
      </x:c>
      <x:c r="H105" t="str">
        <x:v>Completed</x:v>
      </x:c>
      <x:c r="I105" t="n">
        <x:v>3</x:v>
      </x:c>
      <x:c r="J105" s="12" t="n">
        <x:v>27.35</x:v>
      </x:c>
      <x:c r="K105" s="12" t="n">
        <x:v>12.98</x:v>
      </x:c>
      <x:c r="L105" s="14" t="n">
        <x:v>0</x:v>
      </x:c>
      <x:c r="M105" s="12" t="n">
        <x:f>IF(H105="Completed",I105*J105*(1-L105),0)</x:f>
        <x:v>82.05000000000001</x:v>
      </x:c>
      <x:c r="N105" s="12" t="n">
        <x:f>IF(H105="Completed",I105*K105,0)</x:f>
        <x:v>38.94</x:v>
      </x:c>
      <x:c r="O105" s="12" t="n">
        <x:f>M105-N105</x:f>
        <x:v>43.110000000000014</x:v>
      </x:c>
      <x:c r="P105" s="16" t="n">
        <x:f>IFERROR(O105/M105,0)</x:f>
        <x:v>0.5254113345521024</x:v>
      </x:c>
      <x:c r="Q105" t="n">
        <x:f>YEAR(B105)</x:f>
        <x:v>2024</x:v>
      </x:c>
      <x:c r="R105" t="str">
        <x:f>TEXT(B105,"yyyy-mm")</x:f>
        <x:v>2024-04</x:v>
      </x:c>
    </x:row>
    <x:row r="106">
      <x:c r="A106" t="n">
        <x:v>10528</x:v>
      </x:c>
      <x:c r="B106" s="10" t="n">
        <x:v>45395</x:v>
      </x:c>
      <x:c r="C106" t="str">
        <x:v>P006</x:v>
      </x:c>
      <x:c r="D106" t="str">
        <x:v>Chair</x:v>
      </x:c>
      <x:c r="E106" t="str">
        <x:v>Furniture</x:v>
      </x:c>
      <x:c r="F106" t="str">
        <x:v>South</x:v>
      </x:c>
      <x:c r="G106" t="str">
        <x:v>Online</x:v>
      </x:c>
      <x:c r="H106" t="str">
        <x:v>Cancelled</x:v>
      </x:c>
      <x:c r="I106" t="n">
        <x:v>3</x:v>
      </x:c>
      <x:c r="J106" s="12" t="n">
        <x:v>133.19</x:v>
      </x:c>
      <x:c r="K106" s="12" t="n">
        <x:v>68.24</x:v>
      </x:c>
      <x:c r="L106" s="14" t="n">
        <x:v>0</x:v>
      </x:c>
      <x:c r="M106" s="12" t="n">
        <x:f>IF(H106="Completed",I106*J106*(1-L106),0)</x:f>
        <x:v>0</x:v>
      </x:c>
      <x:c r="N106" s="12" t="n">
        <x:f>IF(H106="Completed",I106*K106,0)</x:f>
        <x:v>0</x:v>
      </x:c>
      <x:c r="O106" s="12" t="n">
        <x:f>M106-N106</x:f>
        <x:v>0</x:v>
      </x:c>
      <x:c r="P106" s="16" t="n">
        <x:f>IFERROR(O106/M106,0)</x:f>
        <x:v>0</x:v>
      </x:c>
      <x:c r="Q106" t="n">
        <x:f>YEAR(B106)</x:f>
        <x:v>2024</x:v>
      </x:c>
      <x:c r="R106" t="str">
        <x:f>TEXT(B106,"yyyy-mm")</x:f>
        <x:v>2024-04</x:v>
      </x:c>
    </x:row>
    <x:row r="107">
      <x:c r="A107" t="n">
        <x:v>10900</x:v>
      </x:c>
      <x:c r="B107" s="10" t="n">
        <x:v>45395</x:v>
      </x:c>
      <x:c r="C107" t="str">
        <x:v>P004</x:v>
      </x:c>
      <x:c r="D107" t="str">
        <x:v>Mouse</x:v>
      </x:c>
      <x:c r="E107" t="str">
        <x:v>Accessories</x:v>
      </x:c>
      <x:c r="F107" t="str">
        <x:v>Midlands</x:v>
      </x:c>
      <x:c r="G107" t="str">
        <x:v>Online</x:v>
      </x:c>
      <x:c r="H107" t="str">
        <x:v>Completed</x:v>
      </x:c>
      <x:c r="I107" t="n">
        <x:v>2</x:v>
      </x:c>
      <x:c r="J107" s="12" t="n">
        <x:v>27.14</x:v>
      </x:c>
      <x:c r="K107" s="12" t="n">
        <x:v>13.25</x:v>
      </x:c>
      <x:c r="L107" s="14" t="n">
        <x:v>0.15</x:v>
      </x:c>
      <x:c r="M107" s="12" t="n">
        <x:f>IF(H107="Completed",I107*J107*(1-L107),0)</x:f>
        <x:v>46.138</x:v>
      </x:c>
      <x:c r="N107" s="12" t="n">
        <x:f>IF(H107="Completed",I107*K107,0)</x:f>
        <x:v>26.5</x:v>
      </x:c>
      <x:c r="O107" s="12" t="n">
        <x:f>M107-N107</x:f>
        <x:v>19.637999999999998</x:v>
      </x:c>
      <x:c r="P107" s="16" t="n">
        <x:f>IFERROR(O107/M107,0)</x:f>
        <x:v>0.4256361350730417</x:v>
      </x:c>
      <x:c r="Q107" t="n">
        <x:f>YEAR(B107)</x:f>
        <x:v>2024</x:v>
      </x:c>
      <x:c r="R107" t="str">
        <x:f>TEXT(B107,"yyyy-mm")</x:f>
        <x:v>2024-04</x:v>
      </x:c>
    </x:row>
    <x:row r="108">
      <x:c r="A108" t="n">
        <x:v>10279</x:v>
      </x:c>
      <x:c r="B108" s="10" t="n">
        <x:v>45396</x:v>
      </x:c>
      <x:c r="C108" t="str">
        <x:v>P003</x:v>
      </x:c>
      <x:c r="D108" t="str">
        <x:v>Keyboard</x:v>
      </x:c>
      <x:c r="E108" t="str">
        <x:v>Accessories</x:v>
      </x:c>
      <x:c r="F108" t="str">
        <x:v>North</x:v>
      </x:c>
      <x:c r="G108" t="str">
        <x:v>Online</x:v>
      </x:c>
      <x:c r="H108" t="str">
        <x:v>Cancelled</x:v>
      </x:c>
      <x:c r="I108" t="n">
        <x:v>1</x:v>
      </x:c>
      <x:c r="J108" s="12" t="n">
        <x:v>48.93</x:v>
      </x:c>
      <x:c r="K108" s="12" t="n">
        <x:v>25.51</x:v>
      </x:c>
      <x:c r="L108" s="14" t="n">
        <x:v>0.1</x:v>
      </x:c>
      <x:c r="M108" s="12" t="n">
        <x:f>IF(H108="Completed",I108*J108*(1-L108),0)</x:f>
        <x:v>0</x:v>
      </x:c>
      <x:c r="N108" s="12" t="n">
        <x:f>IF(H108="Completed",I108*K108,0)</x:f>
        <x:v>0</x:v>
      </x:c>
      <x:c r="O108" s="12" t="n">
        <x:f>M108-N108</x:f>
        <x:v>0</x:v>
      </x:c>
      <x:c r="P108" s="16" t="n">
        <x:f>IFERROR(O108/M108,0)</x:f>
        <x:v>0</x:v>
      </x:c>
      <x:c r="Q108" t="n">
        <x:f>YEAR(B108)</x:f>
        <x:v>2024</x:v>
      </x:c>
      <x:c r="R108" t="str">
        <x:f>TEXT(B108,"yyyy-mm")</x:f>
        <x:v>2024-04</x:v>
      </x:c>
    </x:row>
    <x:row r="109">
      <x:c r="A109" t="n">
        <x:v>10300</x:v>
      </x:c>
      <x:c r="B109" s="10" t="n">
        <x:v>45396</x:v>
      </x:c>
      <x:c r="C109" t="str">
        <x:v>P003</x:v>
      </x:c>
      <x:c r="D109" t="str">
        <x:v>Keyboard</x:v>
      </x:c>
      <x:c r="E109" t="str">
        <x:v>Accessories</x:v>
      </x:c>
      <x:c r="F109" t="str">
        <x:v>Midlands</x:v>
      </x:c>
      <x:c r="G109" t="str">
        <x:v>Online</x:v>
      </x:c>
      <x:c r="H109" t="str">
        <x:v>Completed</x:v>
      </x:c>
      <x:c r="I109" t="n">
        <x:v>3</x:v>
      </x:c>
      <x:c r="J109" s="12" t="n">
        <x:v>50.49</x:v>
      </x:c>
      <x:c r="K109" s="12" t="n">
        <x:v>26.17</x:v>
      </x:c>
      <x:c r="L109" s="14" t="n">
        <x:v>0.15</x:v>
      </x:c>
      <x:c r="M109" s="12" t="n">
        <x:f>IF(H109="Completed",I109*J109*(1-L109),0)</x:f>
        <x:v>128.74949999999998</x:v>
      </x:c>
      <x:c r="N109" s="12" t="n">
        <x:f>IF(H109="Completed",I109*K109,0)</x:f>
        <x:v>78.51</x:v>
      </x:c>
      <x:c r="O109" s="12" t="n">
        <x:f>M109-N109</x:f>
        <x:v>50.23949999999998</x:v>
      </x:c>
      <x:c r="P109" s="16" t="n">
        <x:f>IFERROR(O109/M109,0)</x:f>
        <x:v>0.3902112241212586</x:v>
      </x:c>
      <x:c r="Q109" t="n">
        <x:f>YEAR(B109)</x:f>
        <x:v>2024</x:v>
      </x:c>
      <x:c r="R109" t="str">
        <x:f>TEXT(B109,"yyyy-mm")</x:f>
        <x:v>2024-04</x:v>
      </x:c>
    </x:row>
    <x:row r="110">
      <x:c r="A110" t="n">
        <x:v>10758</x:v>
      </x:c>
      <x:c r="B110" s="10" t="n">
        <x:v>45396</x:v>
      </x:c>
      <x:c r="C110" t="str">
        <x:v>P004</x:v>
      </x:c>
      <x:c r="D110" t="str">
        <x:v>Mouse</x:v>
      </x:c>
      <x:c r="E110" t="str">
        <x:v>Accessories</x:v>
      </x:c>
      <x:c r="F110" t="str">
        <x:v>South</x:v>
      </x:c>
      <x:c r="G110" t="str">
        <x:v>Retail</x:v>
      </x:c>
      <x:c r="H110" t="str">
        <x:v>Cancelled</x:v>
      </x:c>
      <x:c r="I110" t="n">
        <x:v>2</x:v>
      </x:c>
      <x:c r="J110" s="12" t="n">
        <x:v>27.49</x:v>
      </x:c>
      <x:c r="K110" s="12" t="n">
        <x:v>13.36</x:v>
      </x:c>
      <x:c r="L110" s="14" t="n">
        <x:v>0.1</x:v>
      </x:c>
      <x:c r="M110" s="12" t="n">
        <x:f>IF(H110="Completed",I110*J110*(1-L110),0)</x:f>
        <x:v>0</x:v>
      </x:c>
      <x:c r="N110" s="12" t="n">
        <x:f>IF(H110="Completed",I110*K110,0)</x:f>
        <x:v>0</x:v>
      </x:c>
      <x:c r="O110" s="12" t="n">
        <x:f>M110-N110</x:f>
        <x:v>0</x:v>
      </x:c>
      <x:c r="P110" s="16" t="n">
        <x:f>IFERROR(O110/M110,0)</x:f>
        <x:v>0</x:v>
      </x:c>
      <x:c r="Q110" t="n">
        <x:f>YEAR(B110)</x:f>
        <x:v>2024</x:v>
      </x:c>
      <x:c r="R110" t="str">
        <x:f>TEXT(B110,"yyyy-mm")</x:f>
        <x:v>2024-04</x:v>
      </x:c>
    </x:row>
    <x:row r="111">
      <x:c r="A111" t="n">
        <x:v>10324</x:v>
      </x:c>
      <x:c r="B111" s="10" t="n">
        <x:v>45397</x:v>
      </x:c>
      <x:c r="C111" t="str">
        <x:v>P006</x:v>
      </x:c>
      <x:c r="D111" t="str">
        <x:v>Chair</x:v>
      </x:c>
      <x:c r="E111" t="str">
        <x:v>Furniture</x:v>
      </x:c>
      <x:c r="F111" t="str">
        <x:v>Wales</x:v>
      </x:c>
      <x:c r="G111" t="str">
        <x:v>Online</x:v>
      </x:c>
      <x:c r="H111" t="str">
        <x:v>Completed</x:v>
      </x:c>
      <x:c r="I111" t="n">
        <x:v>3</x:v>
      </x:c>
      <x:c r="J111" s="12" t="n">
        <x:v>140.33</x:v>
      </x:c>
      <x:c r="K111" s="12" t="n">
        <x:v>67.13</x:v>
      </x:c>
      <x:c r="L111" s="14" t="n">
        <x:v>0.15</x:v>
      </x:c>
      <x:c r="M111" s="12" t="n">
        <x:f>IF(H111="Completed",I111*J111*(1-L111),0)</x:f>
        <x:v>357.8415</x:v>
      </x:c>
      <x:c r="N111" s="12" t="n">
        <x:f>IF(H111="Completed",I111*K111,0)</x:f>
        <x:v>201.39</x:v>
      </x:c>
      <x:c r="O111" s="12" t="n">
        <x:f>M111-N111</x:f>
        <x:v>156.4515</x:v>
      </x:c>
      <x:c r="P111" s="16" t="n">
        <x:f>IFERROR(O111/M111,0)</x:f>
        <x:v>0.4372089318874418</x:v>
      </x:c>
      <x:c r="Q111" t="n">
        <x:f>YEAR(B111)</x:f>
        <x:v>2024</x:v>
      </x:c>
      <x:c r="R111" t="str">
        <x:f>TEXT(B111,"yyyy-mm")</x:f>
        <x:v>2024-04</x:v>
      </x:c>
    </x:row>
    <x:row r="112">
      <x:c r="A112" t="n">
        <x:v>10932</x:v>
      </x:c>
      <x:c r="B112" s="10" t="n">
        <x:v>45399</x:v>
      </x:c>
      <x:c r="C112" t="str">
        <x:v>P008</x:v>
      </x:c>
      <x:c r="D112" t="str">
        <x:v>Webcam</x:v>
      </x:c>
      <x:c r="E112" t="str">
        <x:v>Electronics</x:v>
      </x:c>
      <x:c r="F112" t="str">
        <x:v>South</x:v>
      </x:c>
      <x:c r="G112" t="str">
        <x:v>Partner</x:v>
      </x:c>
      <x:c r="H112" t="str">
        <x:v>Completed</x:v>
      </x:c>
      <x:c r="I112" t="n">
        <x:v>1</x:v>
      </x:c>
      <x:c r="J112" s="12" t="n">
        <x:v>87.76</x:v>
      </x:c>
      <x:c r="K112" s="12" t="n">
        <x:v>42.47</x:v>
      </x:c>
      <x:c r="L112" s="14" t="n">
        <x:v>0.15</x:v>
      </x:c>
      <x:c r="M112" s="12" t="n">
        <x:f>IF(H112="Completed",I112*J112*(1-L112),0)</x:f>
        <x:v>74.596</x:v>
      </x:c>
      <x:c r="N112" s="12" t="n">
        <x:f>IF(H112="Completed",I112*K112,0)</x:f>
        <x:v>42.47</x:v>
      </x:c>
      <x:c r="O112" s="12" t="n">
        <x:f>M112-N112</x:f>
        <x:v>32.126000000000005</x:v>
      </x:c>
      <x:c r="P112" s="16" t="n">
        <x:f>IFERROR(O112/M112,0)</x:f>
        <x:v>0.43066652367419167</x:v>
      </x:c>
      <x:c r="Q112" t="n">
        <x:f>YEAR(B112)</x:f>
        <x:v>2024</x:v>
      </x:c>
      <x:c r="R112" t="str">
        <x:f>TEXT(B112,"yyyy-mm")</x:f>
        <x:v>2024-04</x:v>
      </x:c>
    </x:row>
    <x:row r="113">
      <x:c r="A113" t="n">
        <x:v>10015</x:v>
      </x:c>
      <x:c r="B113" s="10" t="n">
        <x:v>45400</x:v>
      </x:c>
      <x:c r="C113" t="str">
        <x:v>P005</x:v>
      </x:c>
      <x:c r="D113" t="str">
        <x:v>Desk</x:v>
      </x:c>
      <x:c r="E113" t="str">
        <x:v>Furniture</x:v>
      </x:c>
      <x:c r="F113" t="str">
        <x:v>North</x:v>
      </x:c>
      <x:c r="G113" t="str">
        <x:v>Retail</x:v>
      </x:c>
      <x:c r="H113" t="str">
        <x:v>Cancelled</x:v>
      </x:c>
      <x:c r="I113" t="n">
        <x:v>2</x:v>
      </x:c>
      <x:c r="J113" s="12" t="n">
        <x:v>284.43</x:v>
      </x:c>
      <x:c r="K113" s="12" t="n">
        <x:v>156.54</x:v>
      </x:c>
      <x:c r="L113" s="14" t="n">
        <x:v>0.1</x:v>
      </x:c>
      <x:c r="M113" s="12" t="n">
        <x:f>IF(H113="Completed",I113*J113*(1-L113),0)</x:f>
        <x:v>0</x:v>
      </x:c>
      <x:c r="N113" s="12" t="n">
        <x:f>IF(H113="Completed",I113*K113,0)</x:f>
        <x:v>0</x:v>
      </x:c>
      <x:c r="O113" s="12" t="n">
        <x:f>M113-N113</x:f>
        <x:v>0</x:v>
      </x:c>
      <x:c r="P113" s="16" t="n">
        <x:f>IFERROR(O113/M113,0)</x:f>
        <x:v>0</x:v>
      </x:c>
      <x:c r="Q113" t="n">
        <x:f>YEAR(B113)</x:f>
        <x:v>2024</x:v>
      </x:c>
      <x:c r="R113" t="str">
        <x:f>TEXT(B113,"yyyy-mm")</x:f>
        <x:v>2024-04</x:v>
      </x:c>
    </x:row>
    <x:row r="114">
      <x:c r="A114" t="n">
        <x:v>10832</x:v>
      </x:c>
      <x:c r="B114" s="10" t="n">
        <x:v>45400</x:v>
      </x:c>
      <x:c r="C114" t="str">
        <x:v>P006</x:v>
      </x:c>
      <x:c r="D114" t="str">
        <x:v>Chair</x:v>
      </x:c>
      <x:c r="E114" t="str">
        <x:v>Furniture</x:v>
      </x:c>
      <x:c r="F114" t="str">
        <x:v>North</x:v>
      </x:c>
      <x:c r="G114" t="str">
        <x:v>Online</x:v>
      </x:c>
      <x:c r="H114" t="str">
        <x:v>Completed</x:v>
      </x:c>
      <x:c r="I114" t="n">
        <x:v>2</x:v>
      </x:c>
      <x:c r="J114" s="12" t="n">
        <x:v>136.89</x:v>
      </x:c>
      <x:c r="K114" s="12" t="n">
        <x:v>67.56</x:v>
      </x:c>
      <x:c r="L114" s="14" t="n">
        <x:v>0.05</x:v>
      </x:c>
      <x:c r="M114" s="12" t="n">
        <x:f>IF(H114="Completed",I114*J114*(1-L114),0)</x:f>
        <x:v>260.09099999999995</x:v>
      </x:c>
      <x:c r="N114" s="12" t="n">
        <x:f>IF(H114="Completed",I114*K114,0)</x:f>
        <x:v>135.12</x:v>
      </x:c>
      <x:c r="O114" s="12" t="n">
        <x:f>M114-N114</x:f>
        <x:v>124.97099999999995</x:v>
      </x:c>
      <x:c r="P114" s="16" t="n">
        <x:f>IFERROR(O114/M114,0)</x:f>
        <x:v>0.4804895209753508</x:v>
      </x:c>
      <x:c r="Q114" t="n">
        <x:f>YEAR(B114)</x:f>
        <x:v>2024</x:v>
      </x:c>
      <x:c r="R114" t="str">
        <x:f>TEXT(B114,"yyyy-mm")</x:f>
        <x:v>2024-04</x:v>
      </x:c>
    </x:row>
    <x:row r="115">
      <x:c r="A115" t="n">
        <x:v>10114</x:v>
      </x:c>
      <x:c r="B115" s="10" t="n">
        <x:v>45401</x:v>
      </x:c>
      <x:c r="C115" t="str">
        <x:v>P004</x:v>
      </x:c>
      <x:c r="D115" t="str">
        <x:v>Mouse</x:v>
      </x:c>
      <x:c r="E115" t="str">
        <x:v>Accessories</x:v>
      </x:c>
      <x:c r="F115" t="str">
        <x:v>South</x:v>
      </x:c>
      <x:c r="G115" t="str">
        <x:v>Retail</x:v>
      </x:c>
      <x:c r="H115" t="str">
        <x:v>Completed</x:v>
      </x:c>
      <x:c r="I115" t="n">
        <x:v>4</x:v>
      </x:c>
      <x:c r="J115" s="12" t="n">
        <x:v>28.04</x:v>
      </x:c>
      <x:c r="K115" s="12" t="n">
        <x:v>13.17</x:v>
      </x:c>
      <x:c r="L115" s="14" t="n">
        <x:v>0</x:v>
      </x:c>
      <x:c r="M115" s="12" t="n">
        <x:f>IF(H115="Completed",I115*J115*(1-L115),0)</x:f>
        <x:v>112.16</x:v>
      </x:c>
      <x:c r="N115" s="12" t="n">
        <x:f>IF(H115="Completed",I115*K115,0)</x:f>
        <x:v>52.68</x:v>
      </x:c>
      <x:c r="O115" s="12" t="n">
        <x:f>M115-N115</x:f>
        <x:v>59.48</x:v>
      </x:c>
      <x:c r="P115" s="16" t="n">
        <x:f>IFERROR(O115/M115,0)</x:f>
        <x:v>0.5303138373751783</x:v>
      </x:c>
      <x:c r="Q115" t="n">
        <x:f>YEAR(B115)</x:f>
        <x:v>2024</x:v>
      </x:c>
      <x:c r="R115" t="str">
        <x:f>TEXT(B115,"yyyy-mm")</x:f>
        <x:v>2024-04</x:v>
      </x:c>
    </x:row>
    <x:row r="116">
      <x:c r="A116" t="n">
        <x:v>10231</x:v>
      </x:c>
      <x:c r="B116" s="10" t="n">
        <x:v>45401</x:v>
      </x:c>
      <x:c r="C116" t="str">
        <x:v>P006</x:v>
      </x:c>
      <x:c r="D116" t="str">
        <x:v>Chair</x:v>
      </x:c>
      <x:c r="E116" t="str">
        <x:v>Furniture</x:v>
      </x:c>
      <x:c r="F116" t="str">
        <x:v>Midlands</x:v>
      </x:c>
      <x:c r="G116" t="str">
        <x:v>Retail</x:v>
      </x:c>
      <x:c r="H116" t="str">
        <x:v>Cancelled</x:v>
      </x:c>
      <x:c r="I116" t="n">
        <x:v>3</x:v>
      </x:c>
      <x:c r="J116" s="12" t="n">
        <x:v>139.35</x:v>
      </x:c>
      <x:c r="K116" s="12" t="n">
        <x:v>67.1</x:v>
      </x:c>
      <x:c r="L116" s="14" t="n">
        <x:v>0.05</x:v>
      </x:c>
      <x:c r="M116" s="12" t="n">
        <x:f>IF(H116="Completed",I116*J116*(1-L116),0)</x:f>
        <x:v>0</x:v>
      </x:c>
      <x:c r="N116" s="12" t="n">
        <x:f>IF(H116="Completed",I116*K116,0)</x:f>
        <x:v>0</x:v>
      </x:c>
      <x:c r="O116" s="12" t="n">
        <x:f>M116-N116</x:f>
        <x:v>0</x:v>
      </x:c>
      <x:c r="P116" s="16" t="n">
        <x:f>IFERROR(O116/M116,0)</x:f>
        <x:v>0</x:v>
      </x:c>
      <x:c r="Q116" t="n">
        <x:f>YEAR(B116)</x:f>
        <x:v>2024</x:v>
      </x:c>
      <x:c r="R116" t="str">
        <x:f>TEXT(B116,"yyyy-mm")</x:f>
        <x:v>2024-04</x:v>
      </x:c>
    </x:row>
    <x:row r="117">
      <x:c r="A117" t="n">
        <x:v>10506</x:v>
      </x:c>
      <x:c r="B117" s="10" t="n">
        <x:v>45401</x:v>
      </x:c>
      <x:c r="C117" t="str">
        <x:v>P003</x:v>
      </x:c>
      <x:c r="D117" t="str">
        <x:v>Keyboard</x:v>
      </x:c>
      <x:c r="E117" t="str">
        <x:v>Accessories</x:v>
      </x:c>
      <x:c r="F117" t="str">
        <x:v>South</x:v>
      </x:c>
      <x:c r="G117" t="str">
        <x:v>Online</x:v>
      </x:c>
      <x:c r="H117" t="str">
        <x:v>Cancelled</x:v>
      </x:c>
      <x:c r="I117" t="n">
        <x:v>4</x:v>
      </x:c>
      <x:c r="J117" s="12" t="n">
        <x:v>49.47</x:v>
      </x:c>
      <x:c r="K117" s="12" t="n">
        <x:v>26.28</x:v>
      </x:c>
      <x:c r="L117" s="14" t="n">
        <x:v>0.05</x:v>
      </x:c>
      <x:c r="M117" s="12" t="n">
        <x:f>IF(H117="Completed",I117*J117*(1-L117),0)</x:f>
        <x:v>0</x:v>
      </x:c>
      <x:c r="N117" s="12" t="n">
        <x:f>IF(H117="Completed",I117*K117,0)</x:f>
        <x:v>0</x:v>
      </x:c>
      <x:c r="O117" s="12" t="n">
        <x:f>M117-N117</x:f>
        <x:v>0</x:v>
      </x:c>
      <x:c r="P117" s="16" t="n">
        <x:f>IFERROR(O117/M117,0)</x:f>
        <x:v>0</x:v>
      </x:c>
      <x:c r="Q117" t="n">
        <x:f>YEAR(B117)</x:f>
        <x:v>2024</x:v>
      </x:c>
      <x:c r="R117" t="str">
        <x:f>TEXT(B117,"yyyy-mm")</x:f>
        <x:v>2024-04</x:v>
      </x:c>
    </x:row>
    <x:row r="118">
      <x:c r="A118" t="n">
        <x:v>10842</x:v>
      </x:c>
      <x:c r="B118" s="10" t="n">
        <x:v>45402</x:v>
      </x:c>
      <x:c r="C118" t="str">
        <x:v>P007</x:v>
      </x:c>
      <x:c r="D118" t="str">
        <x:v>Headset</x:v>
      </x:c>
      <x:c r="E118" t="str">
        <x:v>Accessories</x:v>
      </x:c>
      <x:c r="F118" t="str">
        <x:v>North</x:v>
      </x:c>
      <x:c r="G118" t="str">
        <x:v>Retail</x:v>
      </x:c>
      <x:c r="H118" t="str">
        <x:v>Cancelled</x:v>
      </x:c>
      <x:c r="I118" t="n">
        <x:v>4</x:v>
      </x:c>
      <x:c r="J118" s="12" t="n">
        <x:v>71.63</x:v>
      </x:c>
      <x:c r="K118" s="12" t="n">
        <x:v>35.32</x:v>
      </x:c>
      <x:c r="L118" s="14" t="n">
        <x:v>0</x:v>
      </x:c>
      <x:c r="M118" s="12" t="n">
        <x:f>IF(H118="Completed",I118*J118*(1-L118),0)</x:f>
        <x:v>0</x:v>
      </x:c>
      <x:c r="N118" s="12" t="n">
        <x:f>IF(H118="Completed",I118*K118,0)</x:f>
        <x:v>0</x:v>
      </x:c>
      <x:c r="O118" s="12" t="n">
        <x:f>M118-N118</x:f>
        <x:v>0</x:v>
      </x:c>
      <x:c r="P118" s="16" t="n">
        <x:f>IFERROR(O118/M118,0)</x:f>
        <x:v>0</x:v>
      </x:c>
      <x:c r="Q118" t="n">
        <x:f>YEAR(B118)</x:f>
        <x:v>2024</x:v>
      </x:c>
      <x:c r="R118" t="str">
        <x:f>TEXT(B118,"yyyy-mm")</x:f>
        <x:v>2024-04</x:v>
      </x:c>
    </x:row>
    <x:row r="119">
      <x:c r="A119" t="n">
        <x:v>10926</x:v>
      </x:c>
      <x:c r="B119" s="10" t="n">
        <x:v>45402</x:v>
      </x:c>
      <x:c r="C119" t="str">
        <x:v>P002</x:v>
      </x:c>
      <x:c r="D119" t="str">
        <x:v>Monitor</x:v>
      </x:c>
      <x:c r="E119" t="str">
        <x:v>Electronics</x:v>
      </x:c>
      <x:c r="F119" t="str">
        <x:v>South</x:v>
      </x:c>
      <x:c r="G119" t="str">
        <x:v>Online</x:v>
      </x:c>
      <x:c r="H119" t="str">
        <x:v>Completed</x:v>
      </x:c>
      <x:c r="I119" t="n">
        <x:v>1</x:v>
      </x:c>
      <x:c r="J119" s="12" t="n">
        <x:v>278.96</x:v>
      </x:c>
      <x:c r="K119" s="12" t="n">
        <x:v>170.93</x:v>
      </x:c>
      <x:c r="L119" s="14" t="n">
        <x:v>0.1</x:v>
      </x:c>
      <x:c r="M119" s="12" t="n">
        <x:f>IF(H119="Completed",I119*J119*(1-L119),0)</x:f>
        <x:v>251.064</x:v>
      </x:c>
      <x:c r="N119" s="12" t="n">
        <x:f>IF(H119="Completed",I119*K119,0)</x:f>
        <x:v>170.93</x:v>
      </x:c>
      <x:c r="O119" s="12" t="n">
        <x:f>M119-N119</x:f>
        <x:v>80.13399999999999</x:v>
      </x:c>
      <x:c r="P119" s="16" t="n">
        <x:f>IFERROR(O119/M119,0)</x:f>
        <x:v>0.31917758021858966</x:v>
      </x:c>
      <x:c r="Q119" t="n">
        <x:f>YEAR(B119)</x:f>
        <x:v>2024</x:v>
      </x:c>
      <x:c r="R119" t="str">
        <x:f>TEXT(B119,"yyyy-mm")</x:f>
        <x:v>2024-04</x:v>
      </x:c>
    </x:row>
    <x:row r="120">
      <x:c r="A120" t="n">
        <x:v>10132</x:v>
      </x:c>
      <x:c r="B120" s="10" t="n">
        <x:v>45403</x:v>
      </x:c>
      <x:c r="C120" t="str">
        <x:v>P008</x:v>
      </x:c>
      <x:c r="D120" t="str">
        <x:v>Webcam</x:v>
      </x:c>
      <x:c r="E120" t="str">
        <x:v>Electronics</x:v>
      </x:c>
      <x:c r="F120" t="str">
        <x:v>Wales</x:v>
      </x:c>
      <x:c r="G120" t="str">
        <x:v>Online</x:v>
      </x:c>
      <x:c r="H120" t="str">
        <x:v>Cancelled</x:v>
      </x:c>
      <x:c r="I120" t="n">
        <x:v>2</x:v>
      </x:c>
      <x:c r="J120" s="12" t="n">
        <x:v>89.18</x:v>
      </x:c>
      <x:c r="K120" s="12" t="n">
        <x:v>43.18</x:v>
      </x:c>
      <x:c r="L120" s="14" t="n">
        <x:v>0</x:v>
      </x:c>
      <x:c r="M120" s="12" t="n">
        <x:f>IF(H120="Completed",I120*J120*(1-L120),0)</x:f>
        <x:v>0</x:v>
      </x:c>
      <x:c r="N120" s="12" t="n">
        <x:f>IF(H120="Completed",I120*K120,0)</x:f>
        <x:v>0</x:v>
      </x:c>
      <x:c r="O120" s="12" t="n">
        <x:f>M120-N120</x:f>
        <x:v>0</x:v>
      </x:c>
      <x:c r="P120" s="16" t="n">
        <x:f>IFERROR(O120/M120,0)</x:f>
        <x:v>0</x:v>
      </x:c>
      <x:c r="Q120" t="n">
        <x:f>YEAR(B120)</x:f>
        <x:v>2024</x:v>
      </x:c>
      <x:c r="R120" t="str">
        <x:f>TEXT(B120,"yyyy-mm")</x:f>
        <x:v>2024-04</x:v>
      </x:c>
    </x:row>
    <x:row r="121">
      <x:c r="A121" t="n">
        <x:v>10351</x:v>
      </x:c>
      <x:c r="B121" s="10" t="n">
        <x:v>45403</x:v>
      </x:c>
      <x:c r="C121" t="str">
        <x:v>P003</x:v>
      </x:c>
      <x:c r="D121" t="str">
        <x:v>Keyboard</x:v>
      </x:c>
      <x:c r="E121" t="str">
        <x:v>Accessories</x:v>
      </x:c>
      <x:c r="F121" t="str">
        <x:v>North</x:v>
      </x:c>
      <x:c r="G121" t="str">
        <x:v>Online</x:v>
      </x:c>
      <x:c r="H121" t="str">
        <x:v>Completed</x:v>
      </x:c>
      <x:c r="I121" t="n">
        <x:v>1</x:v>
      </x:c>
      <x:c r="J121" s="12" t="n">
        <x:v>49.37</x:v>
      </x:c>
      <x:c r="K121" s="12" t="n">
        <x:v>26.73</x:v>
      </x:c>
      <x:c r="L121" s="14" t="n">
        <x:v>0</x:v>
      </x:c>
      <x:c r="M121" s="12" t="n">
        <x:f>IF(H121="Completed",I121*J121*(1-L121),0)</x:f>
        <x:v>49.37</x:v>
      </x:c>
      <x:c r="N121" s="12" t="n">
        <x:f>IF(H121="Completed",I121*K121,0)</x:f>
        <x:v>26.73</x:v>
      </x:c>
      <x:c r="O121" s="12" t="n">
        <x:f>M121-N121</x:f>
        <x:v>22.639999999999997</x:v>
      </x:c>
      <x:c r="P121" s="16" t="n">
        <x:f>IFERROR(O121/M121,0)</x:f>
        <x:v>0.45857808385659304</x:v>
      </x:c>
      <x:c r="Q121" t="n">
        <x:f>YEAR(B121)</x:f>
        <x:v>2024</x:v>
      </x:c>
      <x:c r="R121" t="str">
        <x:f>TEXT(B121,"yyyy-mm")</x:f>
        <x:v>2024-04</x:v>
      </x:c>
    </x:row>
    <x:row r="122">
      <x:c r="A122" t="n">
        <x:v>10177</x:v>
      </x:c>
      <x:c r="B122" s="10" t="n">
        <x:v>45405</x:v>
      </x:c>
      <x:c r="C122" t="str">
        <x:v>P008</x:v>
      </x:c>
      <x:c r="D122" t="str">
        <x:v>Webcam</x:v>
      </x:c>
      <x:c r="E122" t="str">
        <x:v>Electronics</x:v>
      </x:c>
      <x:c r="F122" t="str">
        <x:v>South</x:v>
      </x:c>
      <x:c r="G122" t="str">
        <x:v>Retail</x:v>
      </x:c>
      <x:c r="H122" t="str">
        <x:v>Completed</x:v>
      </x:c>
      <x:c r="I122" t="n">
        <x:v>1</x:v>
      </x:c>
      <x:c r="J122" s="12" t="n">
        <x:v>89</x:v>
      </x:c>
      <x:c r="K122" s="12" t="n">
        <x:v>42.45</x:v>
      </x:c>
      <x:c r="L122" s="14" t="n">
        <x:v>0</x:v>
      </x:c>
      <x:c r="M122" s="12" t="n">
        <x:f>IF(H122="Completed",I122*J122*(1-L122),0)</x:f>
        <x:v>89</x:v>
      </x:c>
      <x:c r="N122" s="12" t="n">
        <x:f>IF(H122="Completed",I122*K122,0)</x:f>
        <x:v>42.45</x:v>
      </x:c>
      <x:c r="O122" s="12" t="n">
        <x:f>M122-N122</x:f>
        <x:v>46.55</x:v>
      </x:c>
      <x:c r="P122" s="16" t="n">
        <x:f>IFERROR(O122/M122,0)</x:f>
        <x:v>0.5230337078651686</x:v>
      </x:c>
      <x:c r="Q122" t="n">
        <x:f>YEAR(B122)</x:f>
        <x:v>2024</x:v>
      </x:c>
      <x:c r="R122" t="str">
        <x:f>TEXT(B122,"yyyy-mm")</x:f>
        <x:v>2024-04</x:v>
      </x:c>
    </x:row>
    <x:row r="123">
      <x:c r="A123" t="n">
        <x:v>10039</x:v>
      </x:c>
      <x:c r="B123" s="10" t="n">
        <x:v>45406</x:v>
      </x:c>
      <x:c r="C123" t="str">
        <x:v>P002</x:v>
      </x:c>
      <x:c r="D123" t="str">
        <x:v>Monitor</x:v>
      </x:c>
      <x:c r="E123" t="str">
        <x:v>Electronics</x:v>
      </x:c>
      <x:c r="F123" t="str">
        <x:v>South</x:v>
      </x:c>
      <x:c r="G123" t="str">
        <x:v>Retail</x:v>
      </x:c>
      <x:c r="H123" t="str">
        <x:v>Cancelled</x:v>
      </x:c>
      <x:c r="I123" t="n">
        <x:v>2</x:v>
      </x:c>
      <x:c r="J123" s="12" t="n">
        <x:v>279.4</x:v>
      </x:c>
      <x:c r="K123" s="12" t="n">
        <x:v>167.68</x:v>
      </x:c>
      <x:c r="L123" s="14" t="n">
        <x:v>0.1</x:v>
      </x:c>
      <x:c r="M123" s="12" t="n">
        <x:f>IF(H123="Completed",I123*J123*(1-L123),0)</x:f>
        <x:v>0</x:v>
      </x:c>
      <x:c r="N123" s="12" t="n">
        <x:f>IF(H123="Completed",I123*K123,0)</x:f>
        <x:v>0</x:v>
      </x:c>
      <x:c r="O123" s="12" t="n">
        <x:f>M123-N123</x:f>
        <x:v>0</x:v>
      </x:c>
      <x:c r="P123" s="16" t="n">
        <x:f>IFERROR(O123/M123,0)</x:f>
        <x:v>0</x:v>
      </x:c>
      <x:c r="Q123" t="n">
        <x:f>YEAR(B123)</x:f>
        <x:v>2024</x:v>
      </x:c>
      <x:c r="R123" t="str">
        <x:f>TEXT(B123,"yyyy-mm")</x:f>
        <x:v>2024-04</x:v>
      </x:c>
    </x:row>
    <x:row r="124">
      <x:c r="A124" t="n">
        <x:v>10638</x:v>
      </x:c>
      <x:c r="B124" s="10" t="n">
        <x:v>45406</x:v>
      </x:c>
      <x:c r="C124" t="str">
        <x:v>P006</x:v>
      </x:c>
      <x:c r="D124" t="str">
        <x:v>Chair</x:v>
      </x:c>
      <x:c r="E124" t="str">
        <x:v>Furniture</x:v>
      </x:c>
      <x:c r="F124" t="str">
        <x:v>Scotland</x:v>
      </x:c>
      <x:c r="G124" t="str">
        <x:v>Partner</x:v>
      </x:c>
      <x:c r="H124" t="str">
        <x:v>Completed</x:v>
      </x:c>
      <x:c r="I124" t="n">
        <x:v>1</x:v>
      </x:c>
      <x:c r="J124" s="12" t="n">
        <x:v>131.19</x:v>
      </x:c>
      <x:c r="K124" s="12" t="n">
        <x:v>68.28</x:v>
      </x:c>
      <x:c r="L124" s="14" t="n">
        <x:v>0.1</x:v>
      </x:c>
      <x:c r="M124" s="12" t="n">
        <x:f>IF(H124="Completed",I124*J124*(1-L124),0)</x:f>
        <x:v>118.071</x:v>
      </x:c>
      <x:c r="N124" s="12" t="n">
        <x:f>IF(H124="Completed",I124*K124,0)</x:f>
        <x:v>68.28</x:v>
      </x:c>
      <x:c r="O124" s="12" t="n">
        <x:f>M124-N124</x:f>
        <x:v>49.791</x:v>
      </x:c>
      <x:c r="P124" s="16" t="n">
        <x:f>IFERROR(O124/M124,0)</x:f>
        <x:v>0.4217038900322687</x:v>
      </x:c>
      <x:c r="Q124" t="n">
        <x:f>YEAR(B124)</x:f>
        <x:v>2024</x:v>
      </x:c>
      <x:c r="R124" t="str">
        <x:f>TEXT(B124,"yyyy-mm")</x:f>
        <x:v>2024-04</x:v>
      </x:c>
    </x:row>
    <x:row r="125">
      <x:c r="A125" t="n">
        <x:v>10559</x:v>
      </x:c>
      <x:c r="B125" s="10" t="n">
        <x:v>45407</x:v>
      </x:c>
      <x:c r="C125" t="str">
        <x:v>P004</x:v>
      </x:c>
      <x:c r="D125" t="str">
        <x:v>Mouse</x:v>
      </x:c>
      <x:c r="E125" t="str">
        <x:v>Accessories</x:v>
      </x:c>
      <x:c r="F125" t="str">
        <x:v>Midlands</x:v>
      </x:c>
      <x:c r="G125" t="str">
        <x:v>Online</x:v>
      </x:c>
      <x:c r="H125" t="str">
        <x:v>Completed</x:v>
      </x:c>
      <x:c r="I125" t="n">
        <x:v>4</x:v>
      </x:c>
      <x:c r="J125" s="12" t="n">
        <x:v>26.42</x:v>
      </x:c>
      <x:c r="K125" s="12" t="n">
        <x:v>13.25</x:v>
      </x:c>
      <x:c r="L125" s="14" t="n">
        <x:v>0.1</x:v>
      </x:c>
      <x:c r="M125" s="12" t="n">
        <x:f>IF(H125="Completed",I125*J125*(1-L125),0)</x:f>
        <x:v>95.11200000000001</x:v>
      </x:c>
      <x:c r="N125" s="12" t="n">
        <x:f>IF(H125="Completed",I125*K125,0)</x:f>
        <x:v>53</x:v>
      </x:c>
      <x:c r="O125" s="12" t="n">
        <x:f>M125-N125</x:f>
        <x:v>42.11200000000001</x:v>
      </x:c>
      <x:c r="P125" s="16" t="n">
        <x:f>IFERROR(O125/M125,0)</x:f>
        <x:v>0.4427622171755405</x:v>
      </x:c>
      <x:c r="Q125" t="n">
        <x:f>YEAR(B125)</x:f>
        <x:v>2024</x:v>
      </x:c>
      <x:c r="R125" t="str">
        <x:f>TEXT(B125,"yyyy-mm")</x:f>
        <x:v>2024-04</x:v>
      </x:c>
    </x:row>
    <x:row r="126">
      <x:c r="A126" t="n">
        <x:v>10099</x:v>
      </x:c>
      <x:c r="B126" s="10" t="n">
        <x:v>45408</x:v>
      </x:c>
      <x:c r="C126" t="str">
        <x:v>P008</x:v>
      </x:c>
      <x:c r="D126" t="str">
        <x:v>Webcam</x:v>
      </x:c>
      <x:c r="E126" t="str">
        <x:v>Electronics</x:v>
      </x:c>
      <x:c r="F126" t="str">
        <x:v>South</x:v>
      </x:c>
      <x:c r="G126" t="str">
        <x:v>Online</x:v>
      </x:c>
      <x:c r="H126" t="str">
        <x:v>Completed</x:v>
      </x:c>
      <x:c r="I126" t="n">
        <x:v>1</x:v>
      </x:c>
      <x:c r="J126" s="12" t="n">
        <x:v>90.72</x:v>
      </x:c>
      <x:c r="K126" s="12" t="n">
        <x:v>42.03</x:v>
      </x:c>
      <x:c r="L126" s="14" t="n">
        <x:v>0.1</x:v>
      </x:c>
      <x:c r="M126" s="12" t="n">
        <x:f>IF(H126="Completed",I126*J126*(1-L126),0)</x:f>
        <x:v>81.648</x:v>
      </x:c>
      <x:c r="N126" s="12" t="n">
        <x:f>IF(H126="Completed",I126*K126,0)</x:f>
        <x:v>42.03</x:v>
      </x:c>
      <x:c r="O126" s="12" t="n">
        <x:f>M126-N126</x:f>
        <x:v>39.617999999999995</x:v>
      </x:c>
      <x:c r="P126" s="16" t="n">
        <x:f>IFERROR(O126/M126,0)</x:f>
        <x:v>0.48522927689594353</x:v>
      </x:c>
      <x:c r="Q126" t="n">
        <x:f>YEAR(B126)</x:f>
        <x:v>2024</x:v>
      </x:c>
      <x:c r="R126" t="str">
        <x:f>TEXT(B126,"yyyy-mm")</x:f>
        <x:v>2024-04</x:v>
      </x:c>
    </x:row>
    <x:row r="127">
      <x:c r="A127" t="n">
        <x:v>10335</x:v>
      </x:c>
      <x:c r="B127" s="10" t="n">
        <x:v>45410</x:v>
      </x:c>
      <x:c r="C127" t="str">
        <x:v>P008</x:v>
      </x:c>
      <x:c r="D127" t="str">
        <x:v>Webcam</x:v>
      </x:c>
      <x:c r="E127" t="str">
        <x:v>Electronics</x:v>
      </x:c>
      <x:c r="F127" t="str">
        <x:v>Midlands</x:v>
      </x:c>
      <x:c r="G127" t="str">
        <x:v>Retail</x:v>
      </x:c>
      <x:c r="H127" t="str">
        <x:v>Completed</x:v>
      </x:c>
      <x:c r="I127" t="n">
        <x:v>1</x:v>
      </x:c>
      <x:c r="J127" s="12" t="n">
        <x:v>86.41</x:v>
      </x:c>
      <x:c r="K127" s="12" t="n">
        <x:v>41.45</x:v>
      </x:c>
      <x:c r="L127" s="14" t="n">
        <x:v>0</x:v>
      </x:c>
      <x:c r="M127" s="12" t="n">
        <x:f>IF(H127="Completed",I127*J127*(1-L127),0)</x:f>
        <x:v>86.41</x:v>
      </x:c>
      <x:c r="N127" s="12" t="n">
        <x:f>IF(H127="Completed",I127*K127,0)</x:f>
        <x:v>41.45</x:v>
      </x:c>
      <x:c r="O127" s="12" t="n">
        <x:f>M127-N127</x:f>
        <x:v>44.959999999999994</x:v>
      </x:c>
      <x:c r="P127" s="16" t="n">
        <x:f>IFERROR(O127/M127,0)</x:f>
        <x:v>0.5203101492882768</x:v>
      </x:c>
      <x:c r="Q127" t="n">
        <x:f>YEAR(B127)</x:f>
        <x:v>2024</x:v>
      </x:c>
      <x:c r="R127" t="str">
        <x:f>TEXT(B127,"yyyy-mm")</x:f>
        <x:v>2024-04</x:v>
      </x:c>
    </x:row>
    <x:row r="128">
      <x:c r="A128" t="n">
        <x:v>10192</x:v>
      </x:c>
      <x:c r="B128" s="10" t="n">
        <x:v>45412</x:v>
      </x:c>
      <x:c r="C128" t="str">
        <x:v>P005</x:v>
      </x:c>
      <x:c r="D128" t="str">
        <x:v>Desk</x:v>
      </x:c>
      <x:c r="E128" t="str">
        <x:v>Furniture</x:v>
      </x:c>
      <x:c r="F128" t="str">
        <x:v>South</x:v>
      </x:c>
      <x:c r="G128" t="str">
        <x:v>Online</x:v>
      </x:c>
      <x:c r="H128" t="str">
        <x:v>Cancelled</x:v>
      </x:c>
      <x:c r="I128" t="n">
        <x:v>3</x:v>
      </x:c>
      <x:c r="J128" s="12" t="n">
        <x:v>280.11</x:v>
      </x:c>
      <x:c r="K128" s="12" t="n">
        <x:v>159.64</x:v>
      </x:c>
      <x:c r="L128" s="14" t="n">
        <x:v>0</x:v>
      </x:c>
      <x:c r="M128" s="12" t="n">
        <x:f>IF(H128="Completed",I128*J128*(1-L128),0)</x:f>
        <x:v>0</x:v>
      </x:c>
      <x:c r="N128" s="12" t="n">
        <x:f>IF(H128="Completed",I128*K128,0)</x:f>
        <x:v>0</x:v>
      </x:c>
      <x:c r="O128" s="12" t="n">
        <x:f>M128-N128</x:f>
        <x:v>0</x:v>
      </x:c>
      <x:c r="P128" s="16" t="n">
        <x:f>IFERROR(O128/M128,0)</x:f>
        <x:v>0</x:v>
      </x:c>
      <x:c r="Q128" t="n">
        <x:f>YEAR(B128)</x:f>
        <x:v>2024</x:v>
      </x:c>
      <x:c r="R128" t="str">
        <x:f>TEXT(B128,"yyyy-mm")</x:f>
        <x:v>2024-04</x:v>
      </x:c>
    </x:row>
    <x:row r="129">
      <x:c r="A129" t="n">
        <x:v>10643</x:v>
      </x:c>
      <x:c r="B129" s="10" t="n">
        <x:v>45412</x:v>
      </x:c>
      <x:c r="C129" t="str">
        <x:v>P005</x:v>
      </x:c>
      <x:c r="D129" t="str">
        <x:v>Desk</x:v>
      </x:c>
      <x:c r="E129" t="str">
        <x:v>Furniture</x:v>
      </x:c>
      <x:c r="F129" t="str">
        <x:v>North</x:v>
      </x:c>
      <x:c r="G129" t="str">
        <x:v>Online</x:v>
      </x:c>
      <x:c r="H129" t="str">
        <x:v>Cancelled</x:v>
      </x:c>
      <x:c r="I129" t="n">
        <x:v>2</x:v>
      </x:c>
      <x:c r="J129" s="12" t="n">
        <x:v>276.65</x:v>
      </x:c>
      <x:c r="K129" s="12" t="n">
        <x:v>153.5</x:v>
      </x:c>
      <x:c r="L129" s="14" t="n">
        <x:v>0.1</x:v>
      </x:c>
      <x:c r="M129" s="12" t="n">
        <x:f>IF(H129="Completed",I129*J129*(1-L129),0)</x:f>
        <x:v>0</x:v>
      </x:c>
      <x:c r="N129" s="12" t="n">
        <x:f>IF(H129="Completed",I129*K129,0)</x:f>
        <x:v>0</x:v>
      </x:c>
      <x:c r="O129" s="12" t="n">
        <x:f>M129-N129</x:f>
        <x:v>0</x:v>
      </x:c>
      <x:c r="P129" s="16" t="n">
        <x:f>IFERROR(O129/M129,0)</x:f>
        <x:v>0</x:v>
      </x:c>
      <x:c r="Q129" t="n">
        <x:f>YEAR(B129)</x:f>
        <x:v>2024</x:v>
      </x:c>
      <x:c r="R129" t="str">
        <x:f>TEXT(B129,"yyyy-mm")</x:f>
        <x:v>2024-04</x:v>
      </x:c>
    </x:row>
    <x:row r="130">
      <x:c r="A130" t="n">
        <x:v>10148</x:v>
      </x:c>
      <x:c r="B130" s="10" t="n">
        <x:v>45414</x:v>
      </x:c>
      <x:c r="C130" t="str">
        <x:v>P001</x:v>
      </x:c>
      <x:c r="D130" t="str">
        <x:v>Laptop</x:v>
      </x:c>
      <x:c r="E130" t="str">
        <x:v>Electronics</x:v>
      </x:c>
      <x:c r="F130" t="str">
        <x:v>Scotland</x:v>
      </x:c>
      <x:c r="G130" t="str">
        <x:v>Online</x:v>
      </x:c>
      <x:c r="H130" t="str">
        <x:v>Completed</x:v>
      </x:c>
      <x:c r="I130" t="n">
        <x:v>4</x:v>
      </x:c>
      <x:c r="J130" s="12" t="n">
        <x:v>937.72</x:v>
      </x:c>
      <x:c r="K130" s="12" t="n">
        <x:v>623.11</x:v>
      </x:c>
      <x:c r="L130" s="14" t="n">
        <x:v>0.1</x:v>
      </x:c>
      <x:c r="M130" s="12" t="n">
        <x:f>IF(H130="Completed",I130*J130*(1-L130),0)</x:f>
        <x:v>3375.7920000000004</x:v>
      </x:c>
      <x:c r="N130" s="12" t="n">
        <x:f>IF(H130="Completed",I130*K130,0)</x:f>
        <x:v>2492.44</x:v>
      </x:c>
      <x:c r="O130" s="12" t="n">
        <x:f>M130-N130</x:f>
        <x:v>883.3520000000003</x:v>
      </x:c>
      <x:c r="P130" s="16" t="n">
        <x:f>IFERROR(O130/M130,0)</x:f>
        <x:v>0.261672520107874</x:v>
      </x:c>
      <x:c r="Q130" t="n">
        <x:f>YEAR(B130)</x:f>
        <x:v>2024</x:v>
      </x:c>
      <x:c r="R130" t="str">
        <x:f>TEXT(B130,"yyyy-mm")</x:f>
        <x:v>2024-05</x:v>
      </x:c>
    </x:row>
    <x:row r="131">
      <x:c r="A131" t="n">
        <x:v>10460</x:v>
      </x:c>
      <x:c r="B131" s="10" t="n">
        <x:v>45414</x:v>
      </x:c>
      <x:c r="C131" t="str">
        <x:v>P007</x:v>
      </x:c>
      <x:c r="D131" t="str">
        <x:v>Headset</x:v>
      </x:c>
      <x:c r="E131" t="str">
        <x:v>Accessories</x:v>
      </x:c>
      <x:c r="F131" t="str">
        <x:v>Midlands</x:v>
      </x:c>
      <x:c r="G131" t="str">
        <x:v>Retail</x:v>
      </x:c>
      <x:c r="H131" t="str">
        <x:v>Completed</x:v>
      </x:c>
      <x:c r="I131" t="n">
        <x:v>1</x:v>
      </x:c>
      <x:c r="J131" s="12" t="n">
        <x:v>72.78</x:v>
      </x:c>
      <x:c r="K131" s="12" t="n">
        <x:v>34.75</x:v>
      </x:c>
      <x:c r="L131" s="14" t="n">
        <x:v>0</x:v>
      </x:c>
      <x:c r="M131" s="12" t="n">
        <x:f>IF(H131="Completed",I131*J131*(1-L131),0)</x:f>
        <x:v>72.78</x:v>
      </x:c>
      <x:c r="N131" s="12" t="n">
        <x:f>IF(H131="Completed",I131*K131,0)</x:f>
        <x:v>34.75</x:v>
      </x:c>
      <x:c r="O131" s="12" t="n">
        <x:f>M131-N131</x:f>
        <x:v>38.03</x:v>
      </x:c>
      <x:c r="P131" s="16" t="n">
        <x:f>IFERROR(O131/M131,0)</x:f>
        <x:v>0.5225336630942566</x:v>
      </x:c>
      <x:c r="Q131" t="n">
        <x:f>YEAR(B131)</x:f>
        <x:v>2024</x:v>
      </x:c>
      <x:c r="R131" t="str">
        <x:f>TEXT(B131,"yyyy-mm")</x:f>
        <x:v>2024-05</x:v>
      </x:c>
    </x:row>
    <x:row r="132">
      <x:c r="A132" t="n">
        <x:v>10774</x:v>
      </x:c>
      <x:c r="B132" s="10" t="n">
        <x:v>45417</x:v>
      </x:c>
      <x:c r="C132" t="str">
        <x:v>P004</x:v>
      </x:c>
      <x:c r="D132" t="str">
        <x:v>Mouse</x:v>
      </x:c>
      <x:c r="E132" t="str">
        <x:v>Accessories</x:v>
      </x:c>
      <x:c r="F132" t="str">
        <x:v>South</x:v>
      </x:c>
      <x:c r="G132" t="str">
        <x:v>Online</x:v>
      </x:c>
      <x:c r="H132" t="str">
        <x:v>Cancelled</x:v>
      </x:c>
      <x:c r="I132" t="n">
        <x:v>4</x:v>
      </x:c>
      <x:c r="J132" s="12" t="n">
        <x:v>26.71</x:v>
      </x:c>
      <x:c r="K132" s="12" t="n">
        <x:v>13.25</x:v>
      </x:c>
      <x:c r="L132" s="14" t="n">
        <x:v>0.1</x:v>
      </x:c>
      <x:c r="M132" s="12" t="n">
        <x:f>IF(H132="Completed",I132*J132*(1-L132),0)</x:f>
        <x:v>0</x:v>
      </x:c>
      <x:c r="N132" s="12" t="n">
        <x:f>IF(H132="Completed",I132*K132,0)</x:f>
        <x:v>0</x:v>
      </x:c>
      <x:c r="O132" s="12" t="n">
        <x:f>M132-N132</x:f>
        <x:v>0</x:v>
      </x:c>
      <x:c r="P132" s="16" t="n">
        <x:f>IFERROR(O132/M132,0)</x:f>
        <x:v>0</x:v>
      </x:c>
      <x:c r="Q132" t="n">
        <x:f>YEAR(B132)</x:f>
        <x:v>2024</x:v>
      </x:c>
      <x:c r="R132" t="str">
        <x:f>TEXT(B132,"yyyy-mm")</x:f>
        <x:v>2024-05</x:v>
      </x:c>
    </x:row>
    <x:row r="133">
      <x:c r="A133" t="n">
        <x:v>10475</x:v>
      </x:c>
      <x:c r="B133" s="10" t="n">
        <x:v>45418</x:v>
      </x:c>
      <x:c r="C133" t="str">
        <x:v>P001</x:v>
      </x:c>
      <x:c r="D133" t="str">
        <x:v>Laptop</x:v>
      </x:c>
      <x:c r="E133" t="str">
        <x:v>Electronics</x:v>
      </x:c>
      <x:c r="F133" t="str">
        <x:v>South</x:v>
      </x:c>
      <x:c r="G133" t="str">
        <x:v>Online</x:v>
      </x:c>
      <x:c r="H133" t="str">
        <x:v>Cancelled</x:v>
      </x:c>
      <x:c r="I133" t="n">
        <x:v>1</x:v>
      </x:c>
      <x:c r="J133" s="12" t="n">
        <x:v>912.02</x:v>
      </x:c>
      <x:c r="K133" s="12" t="n">
        <x:v>630.8</x:v>
      </x:c>
      <x:c r="L133" s="14" t="n">
        <x:v>0</x:v>
      </x:c>
      <x:c r="M133" s="12" t="n">
        <x:f>IF(H133="Completed",I133*J133*(1-L133),0)</x:f>
        <x:v>0</x:v>
      </x:c>
      <x:c r="N133" s="12" t="n">
        <x:f>IF(H133="Completed",I133*K133,0)</x:f>
        <x:v>0</x:v>
      </x:c>
      <x:c r="O133" s="12" t="n">
        <x:f>M133-N133</x:f>
        <x:v>0</x:v>
      </x:c>
      <x:c r="P133" s="16" t="n">
        <x:f>IFERROR(O133/M133,0)</x:f>
        <x:v>0</x:v>
      </x:c>
      <x:c r="Q133" t="n">
        <x:f>YEAR(B133)</x:f>
        <x:v>2024</x:v>
      </x:c>
      <x:c r="R133" t="str">
        <x:f>TEXT(B133,"yyyy-mm")</x:f>
        <x:v>2024-05</x:v>
      </x:c>
    </x:row>
    <x:row r="134">
      <x:c r="A134" t="n">
        <x:v>10171</x:v>
      </x:c>
      <x:c r="B134" s="10" t="n">
        <x:v>45419</x:v>
      </x:c>
      <x:c r="C134" t="str">
        <x:v>P005</x:v>
      </x:c>
      <x:c r="D134" t="str">
        <x:v>Desk</x:v>
      </x:c>
      <x:c r="E134" t="str">
        <x:v>Furniture</x:v>
      </x:c>
      <x:c r="F134" t="str">
        <x:v>Scotland</x:v>
      </x:c>
      <x:c r="G134" t="str">
        <x:v>Online</x:v>
      </x:c>
      <x:c r="H134" t="str">
        <x:v>Cancelled</x:v>
      </x:c>
      <x:c r="I134" t="n">
        <x:v>1</x:v>
      </x:c>
      <x:c r="J134" s="12" t="n">
        <x:v>282.75</x:v>
      </x:c>
      <x:c r="K134" s="12" t="n">
        <x:v>152.61</x:v>
      </x:c>
      <x:c r="L134" s="14" t="n">
        <x:v>0</x:v>
      </x:c>
      <x:c r="M134" s="12" t="n">
        <x:f>IF(H134="Completed",I134*J134*(1-L134),0)</x:f>
        <x:v>0</x:v>
      </x:c>
      <x:c r="N134" s="12" t="n">
        <x:f>IF(H134="Completed",I134*K134,0)</x:f>
        <x:v>0</x:v>
      </x:c>
      <x:c r="O134" s="12" t="n">
        <x:f>M134-N134</x:f>
        <x:v>0</x:v>
      </x:c>
      <x:c r="P134" s="16" t="n">
        <x:f>IFERROR(O134/M134,0)</x:f>
        <x:v>0</x:v>
      </x:c>
      <x:c r="Q134" t="n">
        <x:f>YEAR(B134)</x:f>
        <x:v>2024</x:v>
      </x:c>
      <x:c r="R134" t="str">
        <x:f>TEXT(B134,"yyyy-mm")</x:f>
        <x:v>2024-05</x:v>
      </x:c>
    </x:row>
    <x:row r="135">
      <x:c r="A135" t="n">
        <x:v>10128</x:v>
      </x:c>
      <x:c r="B135" s="10" t="n">
        <x:v>45420</x:v>
      </x:c>
      <x:c r="C135" t="str">
        <x:v>P004</x:v>
      </x:c>
      <x:c r="D135" t="str">
        <x:v>Mouse</x:v>
      </x:c>
      <x:c r="E135" t="str">
        <x:v>Accessories</x:v>
      </x:c>
      <x:c r="F135" t="str">
        <x:v>Scotland</x:v>
      </x:c>
      <x:c r="G135" t="str">
        <x:v>Retail</x:v>
      </x:c>
      <x:c r="H135" t="str">
        <x:v>Cancelled</x:v>
      </x:c>
      <x:c r="I135" t="n">
        <x:v>1</x:v>
      </x:c>
      <x:c r="J135" s="12" t="n">
        <x:v>27.73</x:v>
      </x:c>
      <x:c r="K135" s="12" t="n">
        <x:v>12.89</x:v>
      </x:c>
      <x:c r="L135" s="14" t="n">
        <x:v>0</x:v>
      </x:c>
      <x:c r="M135" s="12" t="n">
        <x:f>IF(H135="Completed",I135*J135*(1-L135),0)</x:f>
        <x:v>0</x:v>
      </x:c>
      <x:c r="N135" s="12" t="n">
        <x:f>IF(H135="Completed",I135*K135,0)</x:f>
        <x:v>0</x:v>
      </x:c>
      <x:c r="O135" s="12" t="n">
        <x:f>M135-N135</x:f>
        <x:v>0</x:v>
      </x:c>
      <x:c r="P135" s="16" t="n">
        <x:f>IFERROR(O135/M135,0)</x:f>
        <x:v>0</x:v>
      </x:c>
      <x:c r="Q135" t="n">
        <x:f>YEAR(B135)</x:f>
        <x:v>2024</x:v>
      </x:c>
      <x:c r="R135" t="str">
        <x:f>TEXT(B135,"yyyy-mm")</x:f>
        <x:v>2024-05</x:v>
      </x:c>
    </x:row>
    <x:row r="136">
      <x:c r="A136" t="n">
        <x:v>10064</x:v>
      </x:c>
      <x:c r="B136" s="10" t="n">
        <x:v>45422</x:v>
      </x:c>
      <x:c r="C136" t="str">
        <x:v>P001</x:v>
      </x:c>
      <x:c r="D136" t="str">
        <x:v>Laptop</x:v>
      </x:c>
      <x:c r="E136" t="str">
        <x:v>Electronics</x:v>
      </x:c>
      <x:c r="F136" t="str">
        <x:v>South</x:v>
      </x:c>
      <x:c r="G136" t="str">
        <x:v>Retail</x:v>
      </x:c>
      <x:c r="H136" t="str">
        <x:v>Completed</x:v>
      </x:c>
      <x:c r="I136" t="n">
        <x:v>4</x:v>
      </x:c>
      <x:c r="J136" s="12" t="n">
        <x:v>920</x:v>
      </x:c>
      <x:c r="K136" s="12" t="n">
        <x:v>634.47</x:v>
      </x:c>
      <x:c r="L136" s="14" t="n">
        <x:v>0.15</x:v>
      </x:c>
      <x:c r="M136" s="12" t="n">
        <x:f>IF(H136="Completed",I136*J136*(1-L136),0)</x:f>
        <x:v>3128</x:v>
      </x:c>
      <x:c r="N136" s="12" t="n">
        <x:f>IF(H136="Completed",I136*K136,0)</x:f>
        <x:v>2537.88</x:v>
      </x:c>
      <x:c r="O136" s="12" t="n">
        <x:f>M136-N136</x:f>
        <x:v>590.1199999999999</x:v>
      </x:c>
      <x:c r="P136" s="16" t="n">
        <x:f>IFERROR(O136/M136,0)</x:f>
        <x:v>0.18865728900255752</x:v>
      </x:c>
      <x:c r="Q136" t="n">
        <x:f>YEAR(B136)</x:f>
        <x:v>2024</x:v>
      </x:c>
      <x:c r="R136" t="str">
        <x:f>TEXT(B136,"yyyy-mm")</x:f>
        <x:v>2024-05</x:v>
      </x:c>
    </x:row>
    <x:row r="137">
      <x:c r="A137" t="n">
        <x:v>10526</x:v>
      </x:c>
      <x:c r="B137" s="10" t="n">
        <x:v>45423</x:v>
      </x:c>
      <x:c r="C137" t="str">
        <x:v>P001</x:v>
      </x:c>
      <x:c r="D137" t="str">
        <x:v>Laptop</x:v>
      </x:c>
      <x:c r="E137" t="str">
        <x:v>Electronics</x:v>
      </x:c>
      <x:c r="F137" t="str">
        <x:v>South</x:v>
      </x:c>
      <x:c r="G137" t="str">
        <x:v>Online</x:v>
      </x:c>
      <x:c r="H137" t="str">
        <x:v>Cancelled</x:v>
      </x:c>
      <x:c r="I137" t="n">
        <x:v>4</x:v>
      </x:c>
      <x:c r="J137" s="12" t="n">
        <x:v>917.76</x:v>
      </x:c>
      <x:c r="K137" s="12" t="n">
        <x:v>628.88</x:v>
      </x:c>
      <x:c r="L137" s="14" t="n">
        <x:v>0</x:v>
      </x:c>
      <x:c r="M137" s="12" t="n">
        <x:f>IF(H137="Completed",I137*J137*(1-L137),0)</x:f>
        <x:v>0</x:v>
      </x:c>
      <x:c r="N137" s="12" t="n">
        <x:f>IF(H137="Completed",I137*K137,0)</x:f>
        <x:v>0</x:v>
      </x:c>
      <x:c r="O137" s="12" t="n">
        <x:f>M137-N137</x:f>
        <x:v>0</x:v>
      </x:c>
      <x:c r="P137" s="16" t="n">
        <x:f>IFERROR(O137/M137,0)</x:f>
        <x:v>0</x:v>
      </x:c>
      <x:c r="Q137" t="n">
        <x:f>YEAR(B137)</x:f>
        <x:v>2024</x:v>
      </x:c>
      <x:c r="R137" t="str">
        <x:f>TEXT(B137,"yyyy-mm")</x:f>
        <x:v>2024-05</x:v>
      </x:c>
    </x:row>
    <x:row r="138">
      <x:c r="A138" t="n">
        <x:v>10199</x:v>
      </x:c>
      <x:c r="B138" s="10" t="n">
        <x:v>45424</x:v>
      </x:c>
      <x:c r="C138" t="str">
        <x:v>P007</x:v>
      </x:c>
      <x:c r="D138" t="str">
        <x:v>Headset</x:v>
      </x:c>
      <x:c r="E138" t="str">
        <x:v>Accessories</x:v>
      </x:c>
      <x:c r="F138" t="str">
        <x:v>Scotland</x:v>
      </x:c>
      <x:c r="G138" t="str">
        <x:v>Online</x:v>
      </x:c>
      <x:c r="H138" t="str">
        <x:v>Completed</x:v>
      </x:c>
      <x:c r="I138" t="n">
        <x:v>1</x:v>
      </x:c>
      <x:c r="J138" s="12" t="n">
        <x:v>70.66</x:v>
      </x:c>
      <x:c r="K138" s="12" t="n">
        <x:v>35.94</x:v>
      </x:c>
      <x:c r="L138" s="14" t="n">
        <x:v>0</x:v>
      </x:c>
      <x:c r="M138" s="12" t="n">
        <x:f>IF(H138="Completed",I138*J138*(1-L138),0)</x:f>
        <x:v>70.66</x:v>
      </x:c>
      <x:c r="N138" s="12" t="n">
        <x:f>IF(H138="Completed",I138*K138,0)</x:f>
        <x:v>35.94</x:v>
      </x:c>
      <x:c r="O138" s="12" t="n">
        <x:f>M138-N138</x:f>
        <x:v>34.72</x:v>
      </x:c>
      <x:c r="P138" s="16" t="n">
        <x:f>IFERROR(O138/M138,0)</x:f>
        <x:v>0.4913671101047269</x:v>
      </x:c>
      <x:c r="Q138" t="n">
        <x:f>YEAR(B138)</x:f>
        <x:v>2024</x:v>
      </x:c>
      <x:c r="R138" t="str">
        <x:f>TEXT(B138,"yyyy-mm")</x:f>
        <x:v>2024-05</x:v>
      </x:c>
    </x:row>
    <x:row r="139">
      <x:c r="A139" t="n">
        <x:v>10419</x:v>
      </x:c>
      <x:c r="B139" s="10" t="n">
        <x:v>45424</x:v>
      </x:c>
      <x:c r="C139" t="str">
        <x:v>P002</x:v>
      </x:c>
      <x:c r="D139" t="str">
        <x:v>Monitor</x:v>
      </x:c>
      <x:c r="E139" t="str">
        <x:v>Electronics</x:v>
      </x:c>
      <x:c r="F139" t="str">
        <x:v>South</x:v>
      </x:c>
      <x:c r="G139" t="str">
        <x:v>Online</x:v>
      </x:c>
      <x:c r="H139" t="str">
        <x:v>Completed</x:v>
      </x:c>
      <x:c r="I139" t="n">
        <x:v>4</x:v>
      </x:c>
      <x:c r="J139" s="12" t="n">
        <x:v>282.4</x:v>
      </x:c>
      <x:c r="K139" s="12" t="n">
        <x:v>169.07</x:v>
      </x:c>
      <x:c r="L139" s="14" t="n">
        <x:v>0</x:v>
      </x:c>
      <x:c r="M139" s="12" t="n">
        <x:f>IF(H139="Completed",I139*J139*(1-L139),0)</x:f>
        <x:v>1129.6</x:v>
      </x:c>
      <x:c r="N139" s="12" t="n">
        <x:f>IF(H139="Completed",I139*K139,0)</x:f>
        <x:v>676.28</x:v>
      </x:c>
      <x:c r="O139" s="12" t="n">
        <x:f>M139-N139</x:f>
        <x:v>453.31999999999994</x:v>
      </x:c>
      <x:c r="P139" s="16" t="n">
        <x:f>IFERROR(O139/M139,0)</x:f>
        <x:v>0.40131019830028325</x:v>
      </x:c>
      <x:c r="Q139" t="n">
        <x:f>YEAR(B139)</x:f>
        <x:v>2024</x:v>
      </x:c>
      <x:c r="R139" t="str">
        <x:f>TEXT(B139,"yyyy-mm")</x:f>
        <x:v>2024-05</x:v>
      </x:c>
    </x:row>
    <x:row r="140">
      <x:c r="A140" t="n">
        <x:v>10022</x:v>
      </x:c>
      <x:c r="B140" s="10" t="n">
        <x:v>45427</x:v>
      </x:c>
      <x:c r="C140" t="str">
        <x:v>P008</x:v>
      </x:c>
      <x:c r="D140" t="str">
        <x:v>Webcam</x:v>
      </x:c>
      <x:c r="E140" t="str">
        <x:v>Electronics</x:v>
      </x:c>
      <x:c r="F140" t="str">
        <x:v>Scotland</x:v>
      </x:c>
      <x:c r="G140" t="str">
        <x:v>Retail</x:v>
      </x:c>
      <x:c r="H140" t="str">
        <x:v>Completed</x:v>
      </x:c>
      <x:c r="I140" t="n">
        <x:v>2</x:v>
      </x:c>
      <x:c r="J140" s="12" t="n">
        <x:v>86.93</x:v>
      </x:c>
      <x:c r="K140" s="12" t="n">
        <x:v>42.07</x:v>
      </x:c>
      <x:c r="L140" s="14" t="n">
        <x:v>0</x:v>
      </x:c>
      <x:c r="M140" s="12" t="n">
        <x:f>IF(H140="Completed",I140*J140*(1-L140),0)</x:f>
        <x:v>173.86</x:v>
      </x:c>
      <x:c r="N140" s="12" t="n">
        <x:f>IF(H140="Completed",I140*K140,0)</x:f>
        <x:v>84.14</x:v>
      </x:c>
      <x:c r="O140" s="12" t="n">
        <x:f>M140-N140</x:f>
        <x:v>89.72000000000001</x:v>
      </x:c>
      <x:c r="P140" s="16" t="n">
        <x:f>IFERROR(O140/M140,0)</x:f>
        <x:v>0.5160473944553089</x:v>
      </x:c>
      <x:c r="Q140" t="n">
        <x:f>YEAR(B140)</x:f>
        <x:v>2024</x:v>
      </x:c>
      <x:c r="R140" t="str">
        <x:f>TEXT(B140,"yyyy-mm")</x:f>
        <x:v>2024-05</x:v>
      </x:c>
    </x:row>
    <x:row r="141">
      <x:c r="A141" t="n">
        <x:v>10034</x:v>
      </x:c>
      <x:c r="B141" s="10" t="n">
        <x:v>45427</x:v>
      </x:c>
      <x:c r="C141" t="str">
        <x:v>P006</x:v>
      </x:c>
      <x:c r="D141" t="str">
        <x:v>Chair</x:v>
      </x:c>
      <x:c r="E141" t="str">
        <x:v>Furniture</x:v>
      </x:c>
      <x:c r="F141" t="str">
        <x:v>Scotland</x:v>
      </x:c>
      <x:c r="G141" t="str">
        <x:v>Online</x:v>
      </x:c>
      <x:c r="H141" t="str">
        <x:v>Completed</x:v>
      </x:c>
      <x:c r="I141" t="n">
        <x:v>1</x:v>
      </x:c>
      <x:c r="J141" s="12" t="n">
        <x:v>138.83</x:v>
      </x:c>
      <x:c r="K141" s="12" t="n">
        <x:v>69.03</x:v>
      </x:c>
      <x:c r="L141" s="14" t="n">
        <x:v>0.05</x:v>
      </x:c>
      <x:c r="M141" s="12" t="n">
        <x:f>IF(H141="Completed",I141*J141*(1-L141),0)</x:f>
        <x:v>131.8885</x:v>
      </x:c>
      <x:c r="N141" s="12" t="n">
        <x:f>IF(H141="Completed",I141*K141,0)</x:f>
        <x:v>69.03</x:v>
      </x:c>
      <x:c r="O141" s="12" t="n">
        <x:f>M141-N141</x:f>
        <x:v>62.85849999999999</x:v>
      </x:c>
      <x:c r="P141" s="16" t="n">
        <x:f>IFERROR(O141/M141,0)</x:f>
        <x:v>0.47660334297531626</x:v>
      </x:c>
      <x:c r="Q141" t="n">
        <x:f>YEAR(B141)</x:f>
        <x:v>2024</x:v>
      </x:c>
      <x:c r="R141" t="str">
        <x:f>TEXT(B141,"yyyy-mm")</x:f>
        <x:v>2024-05</x:v>
      </x:c>
    </x:row>
    <x:row r="142">
      <x:c r="A142" t="n">
        <x:v>10731</x:v>
      </x:c>
      <x:c r="B142" s="10" t="n">
        <x:v>45427</x:v>
      </x:c>
      <x:c r="C142" t="str">
        <x:v>P008</x:v>
      </x:c>
      <x:c r="D142" t="str">
        <x:v>Webcam</x:v>
      </x:c>
      <x:c r="E142" t="str">
        <x:v>Electronics</x:v>
      </x:c>
      <x:c r="F142" t="str">
        <x:v>Midlands</x:v>
      </x:c>
      <x:c r="G142" t="str">
        <x:v>Retail</x:v>
      </x:c>
      <x:c r="H142" t="str">
        <x:v>Completed</x:v>
      </x:c>
      <x:c r="I142" t="n">
        <x:v>3</x:v>
      </x:c>
      <x:c r="J142" s="12" t="n">
        <x:v>87.51</x:v>
      </x:c>
      <x:c r="K142" s="12" t="n">
        <x:v>41.21</x:v>
      </x:c>
      <x:c r="L142" s="14" t="n">
        <x:v>0</x:v>
      </x:c>
      <x:c r="M142" s="12" t="n">
        <x:f>IF(H142="Completed",I142*J142*(1-L142),0)</x:f>
        <x:v>262.53000000000003</x:v>
      </x:c>
      <x:c r="N142" s="12" t="n">
        <x:f>IF(H142="Completed",I142*K142,0)</x:f>
        <x:v>123.63</x:v>
      </x:c>
      <x:c r="O142" s="12" t="n">
        <x:f>M142-N142</x:f>
        <x:v>138.90000000000003</x:v>
      </x:c>
      <x:c r="P142" s="16" t="n">
        <x:f>IFERROR(O142/M142,0)</x:f>
        <x:v>0.5290823905839334</x:v>
      </x:c>
      <x:c r="Q142" t="n">
        <x:f>YEAR(B142)</x:f>
        <x:v>2024</x:v>
      </x:c>
      <x:c r="R142" t="str">
        <x:f>TEXT(B142,"yyyy-mm")</x:f>
        <x:v>2024-05</x:v>
      </x:c>
    </x:row>
    <x:row r="143">
      <x:c r="A143" t="n">
        <x:v>10702</x:v>
      </x:c>
      <x:c r="B143" s="10" t="n">
        <x:v>45428</x:v>
      </x:c>
      <x:c r="C143" t="str">
        <x:v>P002</x:v>
      </x:c>
      <x:c r="D143" t="str">
        <x:v>Monitor</x:v>
      </x:c>
      <x:c r="E143" t="str">
        <x:v>Electronics</x:v>
      </x:c>
      <x:c r="F143" t="str">
        <x:v>Scotland</x:v>
      </x:c>
      <x:c r="G143" t="str">
        <x:v>Online</x:v>
      </x:c>
      <x:c r="H143" t="str">
        <x:v>Completed</x:v>
      </x:c>
      <x:c r="I143" t="n">
        <x:v>4</x:v>
      </x:c>
      <x:c r="J143" s="12" t="n">
        <x:v>276.58</x:v>
      </x:c>
      <x:c r="K143" s="12" t="n">
        <x:v>168.13</x:v>
      </x:c>
      <x:c r="L143" s="14" t="n">
        <x:v>0</x:v>
      </x:c>
      <x:c r="M143" s="12" t="n">
        <x:f>IF(H143="Completed",I143*J143*(1-L143),0)</x:f>
        <x:v>1106.32</x:v>
      </x:c>
      <x:c r="N143" s="12" t="n">
        <x:f>IF(H143="Completed",I143*K143,0)</x:f>
        <x:v>672.52</x:v>
      </x:c>
      <x:c r="O143" s="12" t="n">
        <x:f>M143-N143</x:f>
        <x:v>433.79999999999995</x:v>
      </x:c>
      <x:c r="P143" s="16" t="n">
        <x:f>IFERROR(O143/M143,0)</x:f>
        <x:v>0.39211078169065006</x:v>
      </x:c>
      <x:c r="Q143" t="n">
        <x:f>YEAR(B143)</x:f>
        <x:v>2024</x:v>
      </x:c>
      <x:c r="R143" t="str">
        <x:f>TEXT(B143,"yyyy-mm")</x:f>
        <x:v>2024-05</x:v>
      </x:c>
    </x:row>
    <x:row r="144">
      <x:c r="A144" t="n">
        <x:v>10182</x:v>
      </x:c>
      <x:c r="B144" s="10" t="n">
        <x:v>45430</x:v>
      </x:c>
      <x:c r="C144" t="str">
        <x:v>P002</x:v>
      </x:c>
      <x:c r="D144" t="str">
        <x:v>Monitor</x:v>
      </x:c>
      <x:c r="E144" t="str">
        <x:v>Electronics</x:v>
      </x:c>
      <x:c r="F144" t="str">
        <x:v>North</x:v>
      </x:c>
      <x:c r="G144" t="str">
        <x:v>Online</x:v>
      </x:c>
      <x:c r="H144" t="str">
        <x:v>Completed</x:v>
      </x:c>
      <x:c r="I144" t="n">
        <x:v>4</x:v>
      </x:c>
      <x:c r="J144" s="12" t="n">
        <x:v>282.75</x:v>
      </x:c>
      <x:c r="K144" s="12" t="n">
        <x:v>169.24</x:v>
      </x:c>
      <x:c r="L144" s="14" t="n">
        <x:v>0</x:v>
      </x:c>
      <x:c r="M144" s="12" t="n">
        <x:f>IF(H144="Completed",I144*J144*(1-L144),0)</x:f>
        <x:v>1131</x:v>
      </x:c>
      <x:c r="N144" s="12" t="n">
        <x:f>IF(H144="Completed",I144*K144,0)</x:f>
        <x:v>676.96</x:v>
      </x:c>
      <x:c r="O144" s="12" t="n">
        <x:f>M144-N144</x:f>
        <x:v>454.03999999999996</x:v>
      </x:c>
      <x:c r="P144" s="16" t="n">
        <x:f>IFERROR(O144/M144,0)</x:f>
        <x:v>0.40145004420866487</x:v>
      </x:c>
      <x:c r="Q144" t="n">
        <x:f>YEAR(B144)</x:f>
        <x:v>2024</x:v>
      </x:c>
      <x:c r="R144" t="str">
        <x:f>TEXT(B144,"yyyy-mm")</x:f>
        <x:v>2024-05</x:v>
      </x:c>
    </x:row>
    <x:row r="145">
      <x:c r="A145" t="n">
        <x:v>10245</x:v>
      </x:c>
      <x:c r="B145" s="10" t="n">
        <x:v>45430</x:v>
      </x:c>
      <x:c r="C145" t="str">
        <x:v>P007</x:v>
      </x:c>
      <x:c r="D145" t="str">
        <x:v>Headset</x:v>
      </x:c>
      <x:c r="E145" t="str">
        <x:v>Accessories</x:v>
      </x:c>
      <x:c r="F145" t="str">
        <x:v>Wales</x:v>
      </x:c>
      <x:c r="G145" t="str">
        <x:v>Online</x:v>
      </x:c>
      <x:c r="H145" t="str">
        <x:v>Completed</x:v>
      </x:c>
      <x:c r="I145" t="n">
        <x:v>3</x:v>
      </x:c>
      <x:c r="J145" s="12" t="n">
        <x:v>70.24</x:v>
      </x:c>
      <x:c r="K145" s="12" t="n">
        <x:v>35.99</x:v>
      </x:c>
      <x:c r="L145" s="14" t="n">
        <x:v>0.05</x:v>
      </x:c>
      <x:c r="M145" s="12" t="n">
        <x:f>IF(H145="Completed",I145*J145*(1-L145),0)</x:f>
        <x:v>200.18399999999997</x:v>
      </x:c>
      <x:c r="N145" s="12" t="n">
        <x:f>IF(H145="Completed",I145*K145,0)</x:f>
        <x:v>107.97</x:v>
      </x:c>
      <x:c r="O145" s="12" t="n">
        <x:f>M145-N145</x:f>
        <x:v>92.21399999999997</x:v>
      </x:c>
      <x:c r="P145" s="16" t="n">
        <x:f>IFERROR(O145/M145,0)</x:f>
        <x:v>0.46064620549094826</x:v>
      </x:c>
      <x:c r="Q145" t="n">
        <x:f>YEAR(B145)</x:f>
        <x:v>2024</x:v>
      </x:c>
      <x:c r="R145" t="str">
        <x:f>TEXT(B145,"yyyy-mm")</x:f>
        <x:v>2024-05</x:v>
      </x:c>
    </x:row>
    <x:row r="146">
      <x:c r="A146" t="n">
        <x:v>10398</x:v>
      </x:c>
      <x:c r="B146" s="10" t="n">
        <x:v>45430</x:v>
      </x:c>
      <x:c r="C146" t="str">
        <x:v>P001</x:v>
      </x:c>
      <x:c r="D146" t="str">
        <x:v>Laptop</x:v>
      </x:c>
      <x:c r="E146" t="str">
        <x:v>Electronics</x:v>
      </x:c>
      <x:c r="F146" t="str">
        <x:v>North</x:v>
      </x:c>
      <x:c r="G146" t="str">
        <x:v>Retail</x:v>
      </x:c>
      <x:c r="H146" t="str">
        <x:v>Completed</x:v>
      </x:c>
      <x:c r="I146" t="n">
        <x:v>2</x:v>
      </x:c>
      <x:c r="J146" s="12" t="n">
        <x:v>894.53</x:v>
      </x:c>
      <x:c r="K146" s="12" t="n">
        <x:v>609.17</x:v>
      </x:c>
      <x:c r="L146" s="14" t="n">
        <x:v>0</x:v>
      </x:c>
      <x:c r="M146" s="12" t="n">
        <x:f>IF(H146="Completed",I146*J146*(1-L146),0)</x:f>
        <x:v>1789.06</x:v>
      </x:c>
      <x:c r="N146" s="12" t="n">
        <x:f>IF(H146="Completed",I146*K146,0)</x:f>
        <x:v>1218.34</x:v>
      </x:c>
      <x:c r="O146" s="12" t="n">
        <x:f>M146-N146</x:f>
        <x:v>570.72</x:v>
      </x:c>
      <x:c r="P146" s="16" t="n">
        <x:f>IFERROR(O146/M146,0)</x:f>
        <x:v>0.3190055112740769</x:v>
      </x:c>
      <x:c r="Q146" t="n">
        <x:f>YEAR(B146)</x:f>
        <x:v>2024</x:v>
      </x:c>
      <x:c r="R146" t="str">
        <x:f>TEXT(B146,"yyyy-mm")</x:f>
        <x:v>2024-05</x:v>
      </x:c>
    </x:row>
    <x:row r="147">
      <x:c r="A147" t="n">
        <x:v>10551</x:v>
      </x:c>
      <x:c r="B147" s="10" t="n">
        <x:v>45431</x:v>
      </x:c>
      <x:c r="C147" t="str">
        <x:v>P005</x:v>
      </x:c>
      <x:c r="D147" t="str">
        <x:v>Desk</x:v>
      </x:c>
      <x:c r="E147" t="str">
        <x:v>Furniture</x:v>
      </x:c>
      <x:c r="F147" t="str">
        <x:v>South</x:v>
      </x:c>
      <x:c r="G147" t="str">
        <x:v>Retail</x:v>
      </x:c>
      <x:c r="H147" t="str">
        <x:v>Completed</x:v>
      </x:c>
      <x:c r="I147" t="n">
        <x:v>1</x:v>
      </x:c>
      <x:c r="J147" s="12" t="n">
        <x:v>278.74</x:v>
      </x:c>
      <x:c r="K147" s="12" t="n">
        <x:v>153.36</x:v>
      </x:c>
      <x:c r="L147" s="14" t="n">
        <x:v>0.15</x:v>
      </x:c>
      <x:c r="M147" s="12" t="n">
        <x:f>IF(H147="Completed",I147*J147*(1-L147),0)</x:f>
        <x:v>236.929</x:v>
      </x:c>
      <x:c r="N147" s="12" t="n">
        <x:f>IF(H147="Completed",I147*K147,0)</x:f>
        <x:v>153.36</x:v>
      </x:c>
      <x:c r="O147" s="12" t="n">
        <x:f>M147-N147</x:f>
        <x:v>83.56899999999999</x:v>
      </x:c>
      <x:c r="P147" s="16" t="n">
        <x:f>IFERROR(O147/M147,0)</x:f>
        <x:v>0.35271748076427956</x:v>
      </x:c>
      <x:c r="Q147" t="n">
        <x:f>YEAR(B147)</x:f>
        <x:v>2024</x:v>
      </x:c>
      <x:c r="R147" t="str">
        <x:f>TEXT(B147,"yyyy-mm")</x:f>
        <x:v>2024-05</x:v>
      </x:c>
    </x:row>
    <x:row r="148">
      <x:c r="A148" t="n">
        <x:v>10769</x:v>
      </x:c>
      <x:c r="B148" s="10" t="n">
        <x:v>45431</x:v>
      </x:c>
      <x:c r="C148" t="str">
        <x:v>P008</x:v>
      </x:c>
      <x:c r="D148" t="str">
        <x:v>Webcam</x:v>
      </x:c>
      <x:c r="E148" t="str">
        <x:v>Electronics</x:v>
      </x:c>
      <x:c r="F148" t="str">
        <x:v>South</x:v>
      </x:c>
      <x:c r="G148" t="str">
        <x:v>Retail</x:v>
      </x:c>
      <x:c r="H148" t="str">
        <x:v>Completed</x:v>
      </x:c>
      <x:c r="I148" t="n">
        <x:v>3</x:v>
      </x:c>
      <x:c r="J148" s="12" t="n">
        <x:v>88.37</x:v>
      </x:c>
      <x:c r="K148" s="12" t="n">
        <x:v>41.4</x:v>
      </x:c>
      <x:c r="L148" s="14" t="n">
        <x:v>0</x:v>
      </x:c>
      <x:c r="M148" s="12" t="n">
        <x:f>IF(H148="Completed",I148*J148*(1-L148),0)</x:f>
        <x:v>265.11</x:v>
      </x:c>
      <x:c r="N148" s="12" t="n">
        <x:f>IF(H148="Completed",I148*K148,0)</x:f>
        <x:v>124.19999999999999</x:v>
      </x:c>
      <x:c r="O148" s="12" t="n">
        <x:f>M148-N148</x:f>
        <x:v>140.91000000000003</x:v>
      </x:c>
      <x:c r="P148" s="16" t="n">
        <x:f>IFERROR(O148/M148,0)</x:f>
        <x:v>0.5315152200973181</x:v>
      </x:c>
      <x:c r="Q148" t="n">
        <x:f>YEAR(B148)</x:f>
        <x:v>2024</x:v>
      </x:c>
      <x:c r="R148" t="str">
        <x:f>TEXT(B148,"yyyy-mm")</x:f>
        <x:v>2024-05</x:v>
      </x:c>
    </x:row>
    <x:row r="149">
      <x:c r="A149" t="n">
        <x:v>10174</x:v>
      </x:c>
      <x:c r="B149" s="10" t="n">
        <x:v>45432</x:v>
      </x:c>
      <x:c r="C149" t="str">
        <x:v>P001</x:v>
      </x:c>
      <x:c r="D149" t="str">
        <x:v>Laptop</x:v>
      </x:c>
      <x:c r="E149" t="str">
        <x:v>Electronics</x:v>
      </x:c>
      <x:c r="F149" t="str">
        <x:v>Wales</x:v>
      </x:c>
      <x:c r="G149" t="str">
        <x:v>Online</x:v>
      </x:c>
      <x:c r="H149" t="str">
        <x:v>Completed</x:v>
      </x:c>
      <x:c r="I149" t="n">
        <x:v>3</x:v>
      </x:c>
      <x:c r="J149" s="12" t="n">
        <x:v>922.61</x:v>
      </x:c>
      <x:c r="K149" s="12" t="n">
        <x:v>626.68</x:v>
      </x:c>
      <x:c r="L149" s="14" t="n">
        <x:v>0.15</x:v>
      </x:c>
      <x:c r="M149" s="12" t="n">
        <x:f>IF(H149="Completed",I149*J149*(1-L149),0)</x:f>
        <x:v>2352.6555</x:v>
      </x:c>
      <x:c r="N149" s="12" t="n">
        <x:f>IF(H149="Completed",I149*K149,0)</x:f>
        <x:v>1880.04</x:v>
      </x:c>
      <x:c r="O149" s="12" t="n">
        <x:f>M149-N149</x:f>
        <x:v>472.6154999999999</x:v>
      </x:c>
      <x:c r="P149" s="16" t="n">
        <x:f>IFERROR(O149/M149,0)</x:f>
        <x:v>0.20088597756875154</x:v>
      </x:c>
      <x:c r="Q149" t="n">
        <x:f>YEAR(B149)</x:f>
        <x:v>2024</x:v>
      </x:c>
      <x:c r="R149" t="str">
        <x:f>TEXT(B149,"yyyy-mm")</x:f>
        <x:v>2024-05</x:v>
      </x:c>
    </x:row>
    <x:row r="150">
      <x:c r="A150" t="n">
        <x:v>10214</x:v>
      </x:c>
      <x:c r="B150" s="10" t="n">
        <x:v>45432</x:v>
      </x:c>
      <x:c r="C150" t="str">
        <x:v>P006</x:v>
      </x:c>
      <x:c r="D150" t="str">
        <x:v>Chair</x:v>
      </x:c>
      <x:c r="E150" t="str">
        <x:v>Furniture</x:v>
      </x:c>
      <x:c r="F150" t="str">
        <x:v>South</x:v>
      </x:c>
      <x:c r="G150" t="str">
        <x:v>Online</x:v>
      </x:c>
      <x:c r="H150" t="str">
        <x:v>Cancelled</x:v>
      </x:c>
      <x:c r="I150" t="n">
        <x:v>4</x:v>
      </x:c>
      <x:c r="J150" s="12" t="n">
        <x:v>134.05</x:v>
      </x:c>
      <x:c r="K150" s="12" t="n">
        <x:v>68.72</x:v>
      </x:c>
      <x:c r="L150" s="14" t="n">
        <x:v>0</x:v>
      </x:c>
      <x:c r="M150" s="12" t="n">
        <x:f>IF(H150="Completed",I150*J150*(1-L150),0)</x:f>
        <x:v>0</x:v>
      </x:c>
      <x:c r="N150" s="12" t="n">
        <x:f>IF(H150="Completed",I150*K150,0)</x:f>
        <x:v>0</x:v>
      </x:c>
      <x:c r="O150" s="12" t="n">
        <x:f>M150-N150</x:f>
        <x:v>0</x:v>
      </x:c>
      <x:c r="P150" s="16" t="n">
        <x:f>IFERROR(O150/M150,0)</x:f>
        <x:v>0</x:v>
      </x:c>
      <x:c r="Q150" t="n">
        <x:f>YEAR(B150)</x:f>
        <x:v>2024</x:v>
      </x:c>
      <x:c r="R150" t="str">
        <x:f>TEXT(B150,"yyyy-mm")</x:f>
        <x:v>2024-05</x:v>
      </x:c>
    </x:row>
    <x:row r="151">
      <x:c r="A151" t="n">
        <x:v>10226</x:v>
      </x:c>
      <x:c r="B151" s="10" t="n">
        <x:v>45432</x:v>
      </x:c>
      <x:c r="C151" t="str">
        <x:v>P002</x:v>
      </x:c>
      <x:c r="D151" t="str">
        <x:v>Monitor</x:v>
      </x:c>
      <x:c r="E151" t="str">
        <x:v>Electronics</x:v>
      </x:c>
      <x:c r="F151" t="str">
        <x:v>Midlands</x:v>
      </x:c>
      <x:c r="G151" t="str">
        <x:v>Retail</x:v>
      </x:c>
      <x:c r="H151" t="str">
        <x:v>Cancelled</x:v>
      </x:c>
      <x:c r="I151" t="n">
        <x:v>2</x:v>
      </x:c>
      <x:c r="J151" s="12" t="n">
        <x:v>289.18</x:v>
      </x:c>
      <x:c r="K151" s="12" t="n">
        <x:v>167.05</x:v>
      </x:c>
      <x:c r="L151" s="14" t="n">
        <x:v>0</x:v>
      </x:c>
      <x:c r="M151" s="12" t="n">
        <x:f>IF(H151="Completed",I151*J151*(1-L151),0)</x:f>
        <x:v>0</x:v>
      </x:c>
      <x:c r="N151" s="12" t="n">
        <x:f>IF(H151="Completed",I151*K151,0)</x:f>
        <x:v>0</x:v>
      </x:c>
      <x:c r="O151" s="12" t="n">
        <x:f>M151-N151</x:f>
        <x:v>0</x:v>
      </x:c>
      <x:c r="P151" s="16" t="n">
        <x:f>IFERROR(O151/M151,0)</x:f>
        <x:v>0</x:v>
      </x:c>
      <x:c r="Q151" t="n">
        <x:f>YEAR(B151)</x:f>
        <x:v>2024</x:v>
      </x:c>
      <x:c r="R151" t="str">
        <x:f>TEXT(B151,"yyyy-mm")</x:f>
        <x:v>2024-05</x:v>
      </x:c>
    </x:row>
    <x:row r="152">
      <x:c r="A152" t="n">
        <x:v>10170</x:v>
      </x:c>
      <x:c r="B152" s="10" t="n">
        <x:v>45433</x:v>
      </x:c>
      <x:c r="C152" t="str">
        <x:v>P005</x:v>
      </x:c>
      <x:c r="D152" t="str">
        <x:v>Desk</x:v>
      </x:c>
      <x:c r="E152" t="str">
        <x:v>Furniture</x:v>
      </x:c>
      <x:c r="F152" t="str">
        <x:v>South</x:v>
      </x:c>
      <x:c r="G152" t="str">
        <x:v>Partner</x:v>
      </x:c>
      <x:c r="H152" t="str">
        <x:v>Cancelled</x:v>
      </x:c>
      <x:c r="I152" t="n">
        <x:v>1</x:v>
      </x:c>
      <x:c r="J152" s="12" t="n">
        <x:v>280.44</x:v>
      </x:c>
      <x:c r="K152" s="12" t="n">
        <x:v>155.9</x:v>
      </x:c>
      <x:c r="L152" s="14" t="n">
        <x:v>0</x:v>
      </x:c>
      <x:c r="M152" s="12" t="n">
        <x:f>IF(H152="Completed",I152*J152*(1-L152),0)</x:f>
        <x:v>0</x:v>
      </x:c>
      <x:c r="N152" s="12" t="n">
        <x:f>IF(H152="Completed",I152*K152,0)</x:f>
        <x:v>0</x:v>
      </x:c>
      <x:c r="O152" s="12" t="n">
        <x:f>M152-N152</x:f>
        <x:v>0</x:v>
      </x:c>
      <x:c r="P152" s="16" t="n">
        <x:f>IFERROR(O152/M152,0)</x:f>
        <x:v>0</x:v>
      </x:c>
      <x:c r="Q152" t="n">
        <x:f>YEAR(B152)</x:f>
        <x:v>2024</x:v>
      </x:c>
      <x:c r="R152" t="str">
        <x:f>TEXT(B152,"yyyy-mm")</x:f>
        <x:v>2024-05</x:v>
      </x:c>
    </x:row>
    <x:row r="153">
      <x:c r="A153" t="n">
        <x:v>10602</x:v>
      </x:c>
      <x:c r="B153" s="10" t="n">
        <x:v>45433</x:v>
      </x:c>
      <x:c r="C153" t="str">
        <x:v>P004</x:v>
      </x:c>
      <x:c r="D153" t="str">
        <x:v>Mouse</x:v>
      </x:c>
      <x:c r="E153" t="str">
        <x:v>Accessories</x:v>
      </x:c>
      <x:c r="F153" t="str">
        <x:v>Midlands</x:v>
      </x:c>
      <x:c r="G153" t="str">
        <x:v>Retail</x:v>
      </x:c>
      <x:c r="H153" t="str">
        <x:v>Cancelled</x:v>
      </x:c>
      <x:c r="I153" t="n">
        <x:v>2</x:v>
      </x:c>
      <x:c r="J153" s="12" t="n">
        <x:v>27</x:v>
      </x:c>
      <x:c r="K153" s="12" t="n">
        <x:v>13.33</x:v>
      </x:c>
      <x:c r="L153" s="14" t="n">
        <x:v>0</x:v>
      </x:c>
      <x:c r="M153" s="12" t="n">
        <x:f>IF(H153="Completed",I153*J153*(1-L153),0)</x:f>
        <x:v>0</x:v>
      </x:c>
      <x:c r="N153" s="12" t="n">
        <x:f>IF(H153="Completed",I153*K153,0)</x:f>
        <x:v>0</x:v>
      </x:c>
      <x:c r="O153" s="12" t="n">
        <x:f>M153-N153</x:f>
        <x:v>0</x:v>
      </x:c>
      <x:c r="P153" s="16" t="n">
        <x:f>IFERROR(O153/M153,0)</x:f>
        <x:v>0</x:v>
      </x:c>
      <x:c r="Q153" t="n">
        <x:f>YEAR(B153)</x:f>
        <x:v>2024</x:v>
      </x:c>
      <x:c r="R153" t="str">
        <x:f>TEXT(B153,"yyyy-mm")</x:f>
        <x:v>2024-05</x:v>
      </x:c>
    </x:row>
    <x:row r="154">
      <x:c r="A154" t="n">
        <x:v>10721</x:v>
      </x:c>
      <x:c r="B154" s="10" t="n">
        <x:v>45433</x:v>
      </x:c>
      <x:c r="C154" t="str">
        <x:v>P007</x:v>
      </x:c>
      <x:c r="D154" t="str">
        <x:v>Headset</x:v>
      </x:c>
      <x:c r="E154" t="str">
        <x:v>Accessories</x:v>
      </x:c>
      <x:c r="F154" t="str">
        <x:v>Scotland</x:v>
      </x:c>
      <x:c r="G154" t="str">
        <x:v>Online</x:v>
      </x:c>
      <x:c r="H154" t="str">
        <x:v>Completed</x:v>
      </x:c>
      <x:c r="I154" t="n">
        <x:v>2</x:v>
      </x:c>
      <x:c r="J154" s="12" t="n">
        <x:v>73.03</x:v>
      </x:c>
      <x:c r="K154" s="12" t="n">
        <x:v>35.81</x:v>
      </x:c>
      <x:c r="L154" s="14" t="n">
        <x:v>0.15</x:v>
      </x:c>
      <x:c r="M154" s="12" t="n">
        <x:f>IF(H154="Completed",I154*J154*(1-L154),0)</x:f>
        <x:v>124.151</x:v>
      </x:c>
      <x:c r="N154" s="12" t="n">
        <x:f>IF(H154="Completed",I154*K154,0)</x:f>
        <x:v>71.62</x:v>
      </x:c>
      <x:c r="O154" s="12" t="n">
        <x:f>M154-N154</x:f>
        <x:v>52.53099999999999</x:v>
      </x:c>
      <x:c r="P154" s="16" t="n">
        <x:f>IFERROR(O154/M154,0)</x:f>
        <x:v>0.4231218435614694</x:v>
      </x:c>
      <x:c r="Q154" t="n">
        <x:f>YEAR(B154)</x:f>
        <x:v>2024</x:v>
      </x:c>
      <x:c r="R154" t="str">
        <x:f>TEXT(B154,"yyyy-mm")</x:f>
        <x:v>2024-05</x:v>
      </x:c>
    </x:row>
    <x:row r="155">
      <x:c r="A155" t="n">
        <x:v>10327</x:v>
      </x:c>
      <x:c r="B155" s="10" t="n">
        <x:v>45435</x:v>
      </x:c>
      <x:c r="C155" t="str">
        <x:v>P004</x:v>
      </x:c>
      <x:c r="D155" t="str">
        <x:v>Mouse</x:v>
      </x:c>
      <x:c r="E155" t="str">
        <x:v>Accessories</x:v>
      </x:c>
      <x:c r="F155" t="str">
        <x:v>South</x:v>
      </x:c>
      <x:c r="G155" t="str">
        <x:v>Online</x:v>
      </x:c>
      <x:c r="H155" t="str">
        <x:v>Cancelled</x:v>
      </x:c>
      <x:c r="I155" t="n">
        <x:v>3</x:v>
      </x:c>
      <x:c r="J155" s="12" t="n">
        <x:v>27.55</x:v>
      </x:c>
      <x:c r="K155" s="12" t="n">
        <x:v>12.93</x:v>
      </x:c>
      <x:c r="L155" s="14" t="n">
        <x:v>0.1</x:v>
      </x:c>
      <x:c r="M155" s="12" t="n">
        <x:f>IF(H155="Completed",I155*J155*(1-L155),0)</x:f>
        <x:v>0</x:v>
      </x:c>
      <x:c r="N155" s="12" t="n">
        <x:f>IF(H155="Completed",I155*K155,0)</x:f>
        <x:v>0</x:v>
      </x:c>
      <x:c r="O155" s="12" t="n">
        <x:f>M155-N155</x:f>
        <x:v>0</x:v>
      </x:c>
      <x:c r="P155" s="16" t="n">
        <x:f>IFERROR(O155/M155,0)</x:f>
        <x:v>0</x:v>
      </x:c>
      <x:c r="Q155" t="n">
        <x:f>YEAR(B155)</x:f>
        <x:v>2024</x:v>
      </x:c>
      <x:c r="R155" t="str">
        <x:f>TEXT(B155,"yyyy-mm")</x:f>
        <x:v>2024-05</x:v>
      </x:c>
    </x:row>
    <x:row r="156">
      <x:c r="A156" t="n">
        <x:v>10408</x:v>
      </x:c>
      <x:c r="B156" s="10" t="n">
        <x:v>45435</x:v>
      </x:c>
      <x:c r="C156" t="str">
        <x:v>P001</x:v>
      </x:c>
      <x:c r="D156" t="str">
        <x:v>Laptop</x:v>
      </x:c>
      <x:c r="E156" t="str">
        <x:v>Electronics</x:v>
      </x:c>
      <x:c r="F156" t="str">
        <x:v>Wales</x:v>
      </x:c>
      <x:c r="G156" t="str">
        <x:v>Online</x:v>
      </x:c>
      <x:c r="H156" t="str">
        <x:v>Completed</x:v>
      </x:c>
      <x:c r="I156" t="n">
        <x:v>4</x:v>
      </x:c>
      <x:c r="J156" s="12" t="n">
        <x:v>917.4</x:v>
      </x:c>
      <x:c r="K156" s="12" t="n">
        <x:v>608.69</x:v>
      </x:c>
      <x:c r="L156" s="14" t="n">
        <x:v>0.05</x:v>
      </x:c>
      <x:c r="M156" s="12" t="n">
        <x:f>IF(H156="Completed",I156*J156*(1-L156),0)</x:f>
        <x:v>3486.12</x:v>
      </x:c>
      <x:c r="N156" s="12" t="n">
        <x:f>IF(H156="Completed",I156*K156,0)</x:f>
        <x:v>2434.76</x:v>
      </x:c>
      <x:c r="O156" s="12" t="n">
        <x:f>M156-N156</x:f>
        <x:v>1051.3599999999997</x:v>
      </x:c>
      <x:c r="P156" s="16" t="n">
        <x:f>IFERROR(O156/M156,0)</x:f>
        <x:v>0.3015845696648422</x:v>
      </x:c>
      <x:c r="Q156" t="n">
        <x:f>YEAR(B156)</x:f>
        <x:v>2024</x:v>
      </x:c>
      <x:c r="R156" t="str">
        <x:f>TEXT(B156,"yyyy-mm")</x:f>
        <x:v>2024-05</x:v>
      </x:c>
    </x:row>
    <x:row r="157">
      <x:c r="A157" t="n">
        <x:v>10303</x:v>
      </x:c>
      <x:c r="B157" s="10" t="n">
        <x:v>45436</x:v>
      </x:c>
      <x:c r="C157" t="str">
        <x:v>P007</x:v>
      </x:c>
      <x:c r="D157" t="str">
        <x:v>Headset</x:v>
      </x:c>
      <x:c r="E157" t="str">
        <x:v>Accessories</x:v>
      </x:c>
      <x:c r="F157" t="str">
        <x:v>South</x:v>
      </x:c>
      <x:c r="G157" t="str">
        <x:v>Retail</x:v>
      </x:c>
      <x:c r="H157" t="str">
        <x:v>Completed</x:v>
      </x:c>
      <x:c r="I157" t="n">
        <x:v>4</x:v>
      </x:c>
      <x:c r="J157" s="12" t="n">
        <x:v>72.29</x:v>
      </x:c>
      <x:c r="K157" s="12" t="n">
        <x:v>35.24</x:v>
      </x:c>
      <x:c r="L157" s="14" t="n">
        <x:v>0</x:v>
      </x:c>
      <x:c r="M157" s="12" t="n">
        <x:f>IF(H157="Completed",I157*J157*(1-L157),0)</x:f>
        <x:v>289.16</x:v>
      </x:c>
      <x:c r="N157" s="12" t="n">
        <x:f>IF(H157="Completed",I157*K157,0)</x:f>
        <x:v>140.96</x:v>
      </x:c>
      <x:c r="O157" s="12" t="n">
        <x:f>M157-N157</x:f>
        <x:v>148.20000000000002</x:v>
      </x:c>
      <x:c r="P157" s="16" t="n">
        <x:f>IFERROR(O157/M157,0)</x:f>
        <x:v>0.5125190206114262</x:v>
      </x:c>
      <x:c r="Q157" t="n">
        <x:f>YEAR(B157)</x:f>
        <x:v>2024</x:v>
      </x:c>
      <x:c r="R157" t="str">
        <x:f>TEXT(B157,"yyyy-mm")</x:f>
        <x:v>2024-05</x:v>
      </x:c>
    </x:row>
    <x:row r="158">
      <x:c r="A158" t="n">
        <x:v>10666</x:v>
      </x:c>
      <x:c r="B158" s="10" t="n">
        <x:v>45437</x:v>
      </x:c>
      <x:c r="C158" t="str">
        <x:v>P005</x:v>
      </x:c>
      <x:c r="D158" t="str">
        <x:v>Desk</x:v>
      </x:c>
      <x:c r="E158" t="str">
        <x:v>Furniture</x:v>
      </x:c>
      <x:c r="F158" t="str">
        <x:v>South</x:v>
      </x:c>
      <x:c r="G158" t="str">
        <x:v>Online</x:v>
      </x:c>
      <x:c r="H158" t="str">
        <x:v>Cancelled</x:v>
      </x:c>
      <x:c r="I158" t="n">
        <x:v>4</x:v>
      </x:c>
      <x:c r="J158" s="12" t="n">
        <x:v>271.47</x:v>
      </x:c>
      <x:c r="K158" s="12" t="n">
        <x:v>156.79</x:v>
      </x:c>
      <x:c r="L158" s="14" t="n">
        <x:v>0</x:v>
      </x:c>
      <x:c r="M158" s="12" t="n">
        <x:f>IF(H158="Completed",I158*J158*(1-L158),0)</x:f>
        <x:v>0</x:v>
      </x:c>
      <x:c r="N158" s="12" t="n">
        <x:f>IF(H158="Completed",I158*K158,0)</x:f>
        <x:v>0</x:v>
      </x:c>
      <x:c r="O158" s="12" t="n">
        <x:f>M158-N158</x:f>
        <x:v>0</x:v>
      </x:c>
      <x:c r="P158" s="16" t="n">
        <x:f>IFERROR(O158/M158,0)</x:f>
        <x:v>0</x:v>
      </x:c>
      <x:c r="Q158" t="n">
        <x:f>YEAR(B158)</x:f>
        <x:v>2024</x:v>
      </x:c>
      <x:c r="R158" t="str">
        <x:f>TEXT(B158,"yyyy-mm")</x:f>
        <x:v>2024-05</x:v>
      </x:c>
    </x:row>
    <x:row r="159">
      <x:c r="A159" t="n">
        <x:v>10901</x:v>
      </x:c>
      <x:c r="B159" s="10" t="n">
        <x:v>45437</x:v>
      </x:c>
      <x:c r="C159" t="str">
        <x:v>P006</x:v>
      </x:c>
      <x:c r="D159" t="str">
        <x:v>Chair</x:v>
      </x:c>
      <x:c r="E159" t="str">
        <x:v>Furniture</x:v>
      </x:c>
      <x:c r="F159" t="str">
        <x:v>Scotland</x:v>
      </x:c>
      <x:c r="G159" t="str">
        <x:v>Online</x:v>
      </x:c>
      <x:c r="H159" t="str">
        <x:v>Completed</x:v>
      </x:c>
      <x:c r="I159" t="n">
        <x:v>2</x:v>
      </x:c>
      <x:c r="J159" s="12" t="n">
        <x:v>135.22</x:v>
      </x:c>
      <x:c r="K159" s="12" t="n">
        <x:v>66.64</x:v>
      </x:c>
      <x:c r="L159" s="14" t="n">
        <x:v>0.1</x:v>
      </x:c>
      <x:c r="M159" s="12" t="n">
        <x:f>IF(H159="Completed",I159*J159*(1-L159),0)</x:f>
        <x:v>243.39600000000002</x:v>
      </x:c>
      <x:c r="N159" s="12" t="n">
        <x:f>IF(H159="Completed",I159*K159,0)</x:f>
        <x:v>133.28</x:v>
      </x:c>
      <x:c r="O159" s="12" t="n">
        <x:f>M159-N159</x:f>
        <x:v>110.11600000000001</x:v>
      </x:c>
      <x:c r="P159" s="16" t="n">
        <x:f>IFERROR(O159/M159,0)</x:f>
        <x:v>0.45241499449456857</x:v>
      </x:c>
      <x:c r="Q159" t="n">
        <x:f>YEAR(B159)</x:f>
        <x:v>2024</x:v>
      </x:c>
      <x:c r="R159" t="str">
        <x:f>TEXT(B159,"yyyy-mm")</x:f>
        <x:v>2024-05</x:v>
      </x:c>
    </x:row>
    <x:row r="160">
      <x:c r="A160" t="n">
        <x:v>10143</x:v>
      </x:c>
      <x:c r="B160" s="10" t="n">
        <x:v>45438</x:v>
      </x:c>
      <x:c r="C160" t="str">
        <x:v>P007</x:v>
      </x:c>
      <x:c r="D160" t="str">
        <x:v>Headset</x:v>
      </x:c>
      <x:c r="E160" t="str">
        <x:v>Accessories</x:v>
      </x:c>
      <x:c r="F160" t="str">
        <x:v>North</x:v>
      </x:c>
      <x:c r="G160" t="str">
        <x:v>Retail</x:v>
      </x:c>
      <x:c r="H160" t="str">
        <x:v>Completed</x:v>
      </x:c>
      <x:c r="I160" t="n">
        <x:v>1</x:v>
      </x:c>
      <x:c r="J160" s="12" t="n">
        <x:v>73.6</x:v>
      </x:c>
      <x:c r="K160" s="12" t="n">
        <x:v>34.68</x:v>
      </x:c>
      <x:c r="L160" s="14" t="n">
        <x:v>0</x:v>
      </x:c>
      <x:c r="M160" s="12" t="n">
        <x:f>IF(H160="Completed",I160*J160*(1-L160),0)</x:f>
        <x:v>73.6</x:v>
      </x:c>
      <x:c r="N160" s="12" t="n">
        <x:f>IF(H160="Completed",I160*K160,0)</x:f>
        <x:v>34.68</x:v>
      </x:c>
      <x:c r="O160" s="12" t="n">
        <x:f>M160-N160</x:f>
        <x:v>38.919999999999995</x:v>
      </x:c>
      <x:c r="P160" s="16" t="n">
        <x:f>IFERROR(O160/M160,0)</x:f>
        <x:v>0.5288043478260869</x:v>
      </x:c>
      <x:c r="Q160" t="n">
        <x:f>YEAR(B160)</x:f>
        <x:v>2024</x:v>
      </x:c>
      <x:c r="R160" t="str">
        <x:f>TEXT(B160,"yyyy-mm")</x:f>
        <x:v>2024-05</x:v>
      </x:c>
    </x:row>
    <x:row r="161">
      <x:c r="A161" t="n">
        <x:v>10662</x:v>
      </x:c>
      <x:c r="B161" s="10" t="n">
        <x:v>45439</x:v>
      </x:c>
      <x:c r="C161" t="str">
        <x:v>P008</x:v>
      </x:c>
      <x:c r="D161" t="str">
        <x:v>Webcam</x:v>
      </x:c>
      <x:c r="E161" t="str">
        <x:v>Electronics</x:v>
      </x:c>
      <x:c r="F161" t="str">
        <x:v>Wales</x:v>
      </x:c>
      <x:c r="G161" t="str">
        <x:v>Online</x:v>
      </x:c>
      <x:c r="H161" t="str">
        <x:v>Completed</x:v>
      </x:c>
      <x:c r="I161" t="n">
        <x:v>4</x:v>
      </x:c>
      <x:c r="J161" s="12" t="n">
        <x:v>91.35</x:v>
      </x:c>
      <x:c r="K161" s="12" t="n">
        <x:v>42.97</x:v>
      </x:c>
      <x:c r="L161" s="14" t="n">
        <x:v>0.15</x:v>
      </x:c>
      <x:c r="M161" s="12" t="n">
        <x:f>IF(H161="Completed",I161*J161*(1-L161),0)</x:f>
        <x:v>310.59</x:v>
      </x:c>
      <x:c r="N161" s="12" t="n">
        <x:f>IF(H161="Completed",I161*K161,0)</x:f>
        <x:v>171.88</x:v>
      </x:c>
      <x:c r="O161" s="12" t="n">
        <x:f>M161-N161</x:f>
        <x:v>138.70999999999998</x:v>
      </x:c>
      <x:c r="P161" s="16" t="n">
        <x:f>IFERROR(O161/M161,0)</x:f>
        <x:v>0.4466016291574101</x:v>
      </x:c>
      <x:c r="Q161" t="n">
        <x:f>YEAR(B161)</x:f>
        <x:v>2024</x:v>
      </x:c>
      <x:c r="R161" t="str">
        <x:f>TEXT(B161,"yyyy-mm")</x:f>
        <x:v>2024-05</x:v>
      </x:c>
    </x:row>
    <x:row r="162">
      <x:c r="A162" t="n">
        <x:v>10757</x:v>
      </x:c>
      <x:c r="B162" s="10" t="n">
        <x:v>45439</x:v>
      </x:c>
      <x:c r="C162" t="str">
        <x:v>P001</x:v>
      </x:c>
      <x:c r="D162" t="str">
        <x:v>Laptop</x:v>
      </x:c>
      <x:c r="E162" t="str">
        <x:v>Electronics</x:v>
      </x:c>
      <x:c r="F162" t="str">
        <x:v>South</x:v>
      </x:c>
      <x:c r="G162" t="str">
        <x:v>Online</x:v>
      </x:c>
      <x:c r="H162" t="str">
        <x:v>Completed</x:v>
      </x:c>
      <x:c r="I162" t="n">
        <x:v>2</x:v>
      </x:c>
      <x:c r="J162" s="12" t="n">
        <x:v>914.32</x:v>
      </x:c>
      <x:c r="K162" s="12" t="n">
        <x:v>635.83</x:v>
      </x:c>
      <x:c r="L162" s="14" t="n">
        <x:v>0.05</x:v>
      </x:c>
      <x:c r="M162" s="12" t="n">
        <x:f>IF(H162="Completed",I162*J162*(1-L162),0)</x:f>
        <x:v>1737.208</x:v>
      </x:c>
      <x:c r="N162" s="12" t="n">
        <x:f>IF(H162="Completed",I162*K162,0)</x:f>
        <x:v>1271.66</x:v>
      </x:c>
      <x:c r="O162" s="12" t="n">
        <x:f>M162-N162</x:f>
        <x:v>465.548</x:v>
      </x:c>
      <x:c r="P162" s="16" t="n">
        <x:f>IFERROR(O162/M162,0)</x:f>
        <x:v>0.2679863320914939</x:v>
      </x:c>
      <x:c r="Q162" t="n">
        <x:f>YEAR(B162)</x:f>
        <x:v>2024</x:v>
      </x:c>
      <x:c r="R162" t="str">
        <x:f>TEXT(B162,"yyyy-mm")</x:f>
        <x:v>2024-05</x:v>
      </x:c>
    </x:row>
    <x:row r="163">
      <x:c r="A163" t="n">
        <x:v>10869</x:v>
      </x:c>
      <x:c r="B163" s="10" t="n">
        <x:v>45441</x:v>
      </x:c>
      <x:c r="C163" t="str">
        <x:v>P001</x:v>
      </x:c>
      <x:c r="D163" t="str">
        <x:v>Laptop</x:v>
      </x:c>
      <x:c r="E163" t="str">
        <x:v>Electronics</x:v>
      </x:c>
      <x:c r="F163" t="str">
        <x:v>North</x:v>
      </x:c>
      <x:c r="G163" t="str">
        <x:v>Online</x:v>
      </x:c>
      <x:c r="H163" t="str">
        <x:v>Completed</x:v>
      </x:c>
      <x:c r="I163" t="n">
        <x:v>1</x:v>
      </x:c>
      <x:c r="J163" s="12" t="n">
        <x:v>896.36</x:v>
      </x:c>
      <x:c r="K163" s="12" t="n">
        <x:v>631.13</x:v>
      </x:c>
      <x:c r="L163" s="14" t="n">
        <x:v>0.05</x:v>
      </x:c>
      <x:c r="M163" s="12" t="n">
        <x:f>IF(H163="Completed",I163*J163*(1-L163),0)</x:f>
        <x:v>851.5419999999999</x:v>
      </x:c>
      <x:c r="N163" s="12" t="n">
        <x:f>IF(H163="Completed",I163*K163,0)</x:f>
        <x:v>631.13</x:v>
      </x:c>
      <x:c r="O163" s="12" t="n">
        <x:f>M163-N163</x:f>
        <x:v>220.41199999999992</x:v>
      </x:c>
      <x:c r="P163" s="16" t="n">
        <x:f>IFERROR(O163/M163,0)</x:f>
        <x:v>0.2588386714924219</x:v>
      </x:c>
      <x:c r="Q163" t="n">
        <x:f>YEAR(B163)</x:f>
        <x:v>2024</x:v>
      </x:c>
      <x:c r="R163" t="str">
        <x:f>TEXT(B163,"yyyy-mm")</x:f>
        <x:v>2024-05</x:v>
      </x:c>
    </x:row>
    <x:row r="164">
      <x:c r="A164" t="n">
        <x:v>10134</x:v>
      </x:c>
      <x:c r="B164" s="10" t="n">
        <x:v>45443</x:v>
      </x:c>
      <x:c r="C164" t="str">
        <x:v>P002</x:v>
      </x:c>
      <x:c r="D164" t="str">
        <x:v>Monitor</x:v>
      </x:c>
      <x:c r="E164" t="str">
        <x:v>Electronics</x:v>
      </x:c>
      <x:c r="F164" t="str">
        <x:v>Midlands</x:v>
      </x:c>
      <x:c r="G164" t="str">
        <x:v>Retail</x:v>
      </x:c>
      <x:c r="H164" t="str">
        <x:v>Cancelled</x:v>
      </x:c>
      <x:c r="I164" t="n">
        <x:v>2</x:v>
      </x:c>
      <x:c r="J164" s="12" t="n">
        <x:v>282.94</x:v>
      </x:c>
      <x:c r="K164" s="12" t="n">
        <x:v>175.05</x:v>
      </x:c>
      <x:c r="L164" s="14" t="n">
        <x:v>0.15</x:v>
      </x:c>
      <x:c r="M164" s="12" t="n">
        <x:f>IF(H164="Completed",I164*J164*(1-L164),0)</x:f>
        <x:v>0</x:v>
      </x:c>
      <x:c r="N164" s="12" t="n">
        <x:f>IF(H164="Completed",I164*K164,0)</x:f>
        <x:v>0</x:v>
      </x:c>
      <x:c r="O164" s="12" t="n">
        <x:f>M164-N164</x:f>
        <x:v>0</x:v>
      </x:c>
      <x:c r="P164" s="16" t="n">
        <x:f>IFERROR(O164/M164,0)</x:f>
        <x:v>0</x:v>
      </x:c>
      <x:c r="Q164" t="n">
        <x:f>YEAR(B164)</x:f>
        <x:v>2024</x:v>
      </x:c>
      <x:c r="R164" t="str">
        <x:f>TEXT(B164,"yyyy-mm")</x:f>
        <x:v>2024-05</x:v>
      </x:c>
    </x:row>
    <x:row r="165">
      <x:c r="A165" t="n">
        <x:v>10586</x:v>
      </x:c>
      <x:c r="B165" s="10" t="n">
        <x:v>45443</x:v>
      </x:c>
      <x:c r="C165" t="str">
        <x:v>P003</x:v>
      </x:c>
      <x:c r="D165" t="str">
        <x:v>Keyboard</x:v>
      </x:c>
      <x:c r="E165" t="str">
        <x:v>Accessories</x:v>
      </x:c>
      <x:c r="F165" t="str">
        <x:v>North</x:v>
      </x:c>
      <x:c r="G165" t="str">
        <x:v>Retail</x:v>
      </x:c>
      <x:c r="H165" t="str">
        <x:v>Completed</x:v>
      </x:c>
      <x:c r="I165" t="n">
        <x:v>3</x:v>
      </x:c>
      <x:c r="J165" s="12" t="n">
        <x:v>48.9</x:v>
      </x:c>
      <x:c r="K165" s="12" t="n">
        <x:v>25.59</x:v>
      </x:c>
      <x:c r="L165" s="14" t="n">
        <x:v>0.1</x:v>
      </x:c>
      <x:c r="M165" s="12" t="n">
        <x:f>IF(H165="Completed",I165*J165*(1-L165),0)</x:f>
        <x:v>132.03</x:v>
      </x:c>
      <x:c r="N165" s="12" t="n">
        <x:f>IF(H165="Completed",I165*K165,0)</x:f>
        <x:v>76.77</x:v>
      </x:c>
      <x:c r="O165" s="12" t="n">
        <x:f>M165-N165</x:f>
        <x:v>55.260000000000005</x:v>
      </x:c>
      <x:c r="P165" s="16" t="n">
        <x:f>IFERROR(O165/M165,0)</x:f>
        <x:v>0.4185412406271302</x:v>
      </x:c>
      <x:c r="Q165" t="n">
        <x:f>YEAR(B165)</x:f>
        <x:v>2024</x:v>
      </x:c>
      <x:c r="R165" t="str">
        <x:f>TEXT(B165,"yyyy-mm")</x:f>
        <x:v>2024-05</x:v>
      </x:c>
    </x:row>
    <x:row r="166">
      <x:c r="A166" t="n">
        <x:v>10744</x:v>
      </x:c>
      <x:c r="B166" s="10" t="n">
        <x:v>45443</x:v>
      </x:c>
      <x:c r="C166" t="str">
        <x:v>P007</x:v>
      </x:c>
      <x:c r="D166" t="str">
        <x:v>Headset</x:v>
      </x:c>
      <x:c r="E166" t="str">
        <x:v>Accessories</x:v>
      </x:c>
      <x:c r="F166" t="str">
        <x:v>Midlands</x:v>
      </x:c>
      <x:c r="G166" t="str">
        <x:v>Online</x:v>
      </x:c>
      <x:c r="H166" t="str">
        <x:v>Completed</x:v>
      </x:c>
      <x:c r="I166" t="n">
        <x:v>3</x:v>
      </x:c>
      <x:c r="J166" s="12" t="n">
        <x:v>71.39</x:v>
      </x:c>
      <x:c r="K166" s="12" t="n">
        <x:v>35.08</x:v>
      </x:c>
      <x:c r="L166" s="14" t="n">
        <x:v>0</x:v>
      </x:c>
      <x:c r="M166" s="12" t="n">
        <x:f>IF(H166="Completed",I166*J166*(1-L166),0)</x:f>
        <x:v>214.17000000000002</x:v>
      </x:c>
      <x:c r="N166" s="12" t="n">
        <x:f>IF(H166="Completed",I166*K166,0)</x:f>
        <x:v>105.24</x:v>
      </x:c>
      <x:c r="O166" s="12" t="n">
        <x:f>M166-N166</x:f>
        <x:v>108.93000000000002</x:v>
      </x:c>
      <x:c r="P166" s="16" t="n">
        <x:f>IFERROR(O166/M166,0)</x:f>
        <x:v>0.5086146519120326</x:v>
      </x:c>
      <x:c r="Q166" t="n">
        <x:f>YEAR(B166)</x:f>
        <x:v>2024</x:v>
      </x:c>
      <x:c r="R166" t="str">
        <x:f>TEXT(B166,"yyyy-mm")</x:f>
        <x:v>2024-05</x:v>
      </x:c>
    </x:row>
    <x:row r="167">
      <x:c r="A167" t="n">
        <x:v>10829</x:v>
      </x:c>
      <x:c r="B167" s="10" t="n">
        <x:v>45443</x:v>
      </x:c>
      <x:c r="C167" t="str">
        <x:v>P002</x:v>
      </x:c>
      <x:c r="D167" t="str">
        <x:v>Monitor</x:v>
      </x:c>
      <x:c r="E167" t="str">
        <x:v>Electronics</x:v>
      </x:c>
      <x:c r="F167" t="str">
        <x:v>North</x:v>
      </x:c>
      <x:c r="G167" t="str">
        <x:v>Partner</x:v>
      </x:c>
      <x:c r="H167" t="str">
        <x:v>Completed</x:v>
      </x:c>
      <x:c r="I167" t="n">
        <x:v>3</x:v>
      </x:c>
      <x:c r="J167" s="12" t="n">
        <x:v>291.41</x:v>
      </x:c>
      <x:c r="K167" s="12" t="n">
        <x:v>173.59</x:v>
      </x:c>
      <x:c r="L167" s="14" t="n">
        <x:v>0</x:v>
      </x:c>
      <x:c r="M167" s="12" t="n">
        <x:f>IF(H167="Completed",I167*J167*(1-L167),0)</x:f>
        <x:v>874.23</x:v>
      </x:c>
      <x:c r="N167" s="12" t="n">
        <x:f>IF(H167="Completed",I167*K167,0)</x:f>
        <x:v>520.77</x:v>
      </x:c>
      <x:c r="O167" s="12" t="n">
        <x:f>M167-N167</x:f>
        <x:v>353.46000000000004</x:v>
      </x:c>
      <x:c r="P167" s="16" t="n">
        <x:f>IFERROR(O167/M167,0)</x:f>
        <x:v>0.40431007858343915</x:v>
      </x:c>
      <x:c r="Q167" t="n">
        <x:f>YEAR(B167)</x:f>
        <x:v>2024</x:v>
      </x:c>
      <x:c r="R167" t="str">
        <x:f>TEXT(B167,"yyyy-mm")</x:f>
        <x:v>2024-05</x:v>
      </x:c>
    </x:row>
    <x:row r="168">
      <x:c r="A168" t="n">
        <x:v>10268</x:v>
      </x:c>
      <x:c r="B168" s="10" t="n">
        <x:v>45444</x:v>
      </x:c>
      <x:c r="C168" t="str">
        <x:v>P004</x:v>
      </x:c>
      <x:c r="D168" t="str">
        <x:v>Mouse</x:v>
      </x:c>
      <x:c r="E168" t="str">
        <x:v>Accessories</x:v>
      </x:c>
      <x:c r="F168" t="str">
        <x:v>South</x:v>
      </x:c>
      <x:c r="G168" t="str">
        <x:v>Online</x:v>
      </x:c>
      <x:c r="H168" t="str">
        <x:v>Completed</x:v>
      </x:c>
      <x:c r="I168" t="n">
        <x:v>2</x:v>
      </x:c>
      <x:c r="J168" s="12" t="n">
        <x:v>27.69</x:v>
      </x:c>
      <x:c r="K168" s="12" t="n">
        <x:v>12.79</x:v>
      </x:c>
      <x:c r="L168" s="14" t="n">
        <x:v>0</x:v>
      </x:c>
      <x:c r="M168" s="12" t="n">
        <x:f>IF(H168="Completed",I168*J168*(1-L168),0)</x:f>
        <x:v>55.38</x:v>
      </x:c>
      <x:c r="N168" s="12" t="n">
        <x:f>IF(H168="Completed",I168*K168,0)</x:f>
        <x:v>25.58</x:v>
      </x:c>
      <x:c r="O168" s="12" t="n">
        <x:f>M168-N168</x:f>
        <x:v>29.800000000000004</x:v>
      </x:c>
      <x:c r="P168" s="16" t="n">
        <x:f>IFERROR(O168/M168,0)</x:f>
        <x:v>0.5381003972553269</x:v>
      </x:c>
      <x:c r="Q168" t="n">
        <x:f>YEAR(B168)</x:f>
        <x:v>2024</x:v>
      </x:c>
      <x:c r="R168" t="str">
        <x:f>TEXT(B168,"yyyy-mm")</x:f>
        <x:v>2024-06</x:v>
      </x:c>
    </x:row>
    <x:row r="169">
      <x:c r="A169" t="n">
        <x:v>10707</x:v>
      </x:c>
      <x:c r="B169" s="10" t="n">
        <x:v>45444</x:v>
      </x:c>
      <x:c r="C169" t="str">
        <x:v>P008</x:v>
      </x:c>
      <x:c r="D169" t="str">
        <x:v>Webcam</x:v>
      </x:c>
      <x:c r="E169" t="str">
        <x:v>Electronics</x:v>
      </x:c>
      <x:c r="F169" t="str">
        <x:v>North</x:v>
      </x:c>
      <x:c r="G169" t="str">
        <x:v>Retail</x:v>
      </x:c>
      <x:c r="H169" t="str">
        <x:v>Completed</x:v>
      </x:c>
      <x:c r="I169" t="n">
        <x:v>4</x:v>
      </x:c>
      <x:c r="J169" s="12" t="n">
        <x:v>90.35</x:v>
      </x:c>
      <x:c r="K169" s="12" t="n">
        <x:v>41.76</x:v>
      </x:c>
      <x:c r="L169" s="14" t="n">
        <x:v>0</x:v>
      </x:c>
      <x:c r="M169" s="12" t="n">
        <x:f>IF(H169="Completed",I169*J169*(1-L169),0)</x:f>
        <x:v>361.4</x:v>
      </x:c>
      <x:c r="N169" s="12" t="n">
        <x:f>IF(H169="Completed",I169*K169,0)</x:f>
        <x:v>167.04</x:v>
      </x:c>
      <x:c r="O169" s="12" t="n">
        <x:f>M169-N169</x:f>
        <x:v>194.35999999999999</x:v>
      </x:c>
      <x:c r="P169" s="16" t="n">
        <x:f>IFERROR(O169/M169,0)</x:f>
        <x:v>0.5377974543442169</x:v>
      </x:c>
      <x:c r="Q169" t="n">
        <x:f>YEAR(B169)</x:f>
        <x:v>2024</x:v>
      </x:c>
      <x:c r="R169" t="str">
        <x:f>TEXT(B169,"yyyy-mm")</x:f>
        <x:v>2024-06</x:v>
      </x:c>
    </x:row>
    <x:row r="170">
      <x:c r="A170" t="n">
        <x:v>10618</x:v>
      </x:c>
      <x:c r="B170" s="10" t="n">
        <x:v>45445</x:v>
      </x:c>
      <x:c r="C170" t="str">
        <x:v>P003</x:v>
      </x:c>
      <x:c r="D170" t="str">
        <x:v>Keyboard</x:v>
      </x:c>
      <x:c r="E170" t="str">
        <x:v>Accessories</x:v>
      </x:c>
      <x:c r="F170" t="str">
        <x:v>North</x:v>
      </x:c>
      <x:c r="G170" t="str">
        <x:v>Retail</x:v>
      </x:c>
      <x:c r="H170" t="str">
        <x:v>Completed</x:v>
      </x:c>
      <x:c r="I170" t="n">
        <x:v>2</x:v>
      </x:c>
      <x:c r="J170" s="12" t="n">
        <x:v>48.59</x:v>
      </x:c>
      <x:c r="K170" s="12" t="n">
        <x:v>26.48</x:v>
      </x:c>
      <x:c r="L170" s="14" t="n">
        <x:v>0</x:v>
      </x:c>
      <x:c r="M170" s="12" t="n">
        <x:f>IF(H170="Completed",I170*J170*(1-L170),0)</x:f>
        <x:v>97.18</x:v>
      </x:c>
      <x:c r="N170" s="12" t="n">
        <x:f>IF(H170="Completed",I170*K170,0)</x:f>
        <x:v>52.96</x:v>
      </x:c>
      <x:c r="O170" s="12" t="n">
        <x:f>M170-N170</x:f>
        <x:v>44.220000000000006</x:v>
      </x:c>
      <x:c r="P170" s="16" t="n">
        <x:f>IFERROR(O170/M170,0)</x:f>
        <x:v>0.4550318995678123</x:v>
      </x:c>
      <x:c r="Q170" t="n">
        <x:f>YEAR(B170)</x:f>
        <x:v>2024</x:v>
      </x:c>
      <x:c r="R170" t="str">
        <x:f>TEXT(B170,"yyyy-mm")</x:f>
        <x:v>2024-06</x:v>
      </x:c>
    </x:row>
    <x:row r="171">
      <x:c r="A171" t="n">
        <x:v>10004</x:v>
      </x:c>
      <x:c r="B171" s="10" t="n">
        <x:v>45451</x:v>
      </x:c>
      <x:c r="C171" t="str">
        <x:v>P004</x:v>
      </x:c>
      <x:c r="D171" t="str">
        <x:v>Mouse</x:v>
      </x:c>
      <x:c r="E171" t="str">
        <x:v>Accessories</x:v>
      </x:c>
      <x:c r="F171" t="str">
        <x:v>North</x:v>
      </x:c>
      <x:c r="G171" t="str">
        <x:v>Online</x:v>
      </x:c>
      <x:c r="H171" t="str">
        <x:v>Completed</x:v>
      </x:c>
      <x:c r="I171" t="n">
        <x:v>3</x:v>
      </x:c>
      <x:c r="J171" s="12" t="n">
        <x:v>27.33</x:v>
      </x:c>
      <x:c r="K171" s="12" t="n">
        <x:v>13.26</x:v>
      </x:c>
      <x:c r="L171" s="14" t="n">
        <x:v>0</x:v>
      </x:c>
      <x:c r="M171" s="12" t="n">
        <x:f>IF(H171="Completed",I171*J171*(1-L171),0)</x:f>
        <x:v>81.99</x:v>
      </x:c>
      <x:c r="N171" s="12" t="n">
        <x:f>IF(H171="Completed",I171*K171,0)</x:f>
        <x:v>39.78</x:v>
      </x:c>
      <x:c r="O171" s="12" t="n">
        <x:f>M171-N171</x:f>
        <x:v>42.209999999999994</x:v>
      </x:c>
      <x:c r="P171" s="16" t="n">
        <x:f>IFERROR(O171/M171,0)</x:f>
        <x:v>0.5148188803512623</x:v>
      </x:c>
      <x:c r="Q171" t="n">
        <x:f>YEAR(B171)</x:f>
        <x:v>2024</x:v>
      </x:c>
      <x:c r="R171" t="str">
        <x:f>TEXT(B171,"yyyy-mm")</x:f>
        <x:v>2024-06</x:v>
      </x:c>
    </x:row>
    <x:row r="172">
      <x:c r="A172" t="n">
        <x:v>10145</x:v>
      </x:c>
      <x:c r="B172" s="10" t="n">
        <x:v>45451</x:v>
      </x:c>
      <x:c r="C172" t="str">
        <x:v>P003</x:v>
      </x:c>
      <x:c r="D172" t="str">
        <x:v>Keyboard</x:v>
      </x:c>
      <x:c r="E172" t="str">
        <x:v>Accessories</x:v>
      </x:c>
      <x:c r="F172" t="str">
        <x:v>South</x:v>
      </x:c>
      <x:c r="G172" t="str">
        <x:v>Online</x:v>
      </x:c>
      <x:c r="H172" t="str">
        <x:v>Completed</x:v>
      </x:c>
      <x:c r="I172" t="n">
        <x:v>1</x:v>
      </x:c>
      <x:c r="J172" s="12" t="n">
        <x:v>49.61</x:v>
      </x:c>
      <x:c r="K172" s="12" t="n">
        <x:v>26.02</x:v>
      </x:c>
      <x:c r="L172" s="14" t="n">
        <x:v>0.05</x:v>
      </x:c>
      <x:c r="M172" s="12" t="n">
        <x:f>IF(H172="Completed",I172*J172*(1-L172),0)</x:f>
        <x:v>47.1295</x:v>
      </x:c>
      <x:c r="N172" s="12" t="n">
        <x:f>IF(H172="Completed",I172*K172,0)</x:f>
        <x:v>26.02</x:v>
      </x:c>
      <x:c r="O172" s="12" t="n">
        <x:f>M172-N172</x:f>
        <x:v>21.1095</x:v>
      </x:c>
      <x:c r="P172" s="16" t="n">
        <x:f>IFERROR(O172/M172,0)</x:f>
        <x:v>0.4479041789112976</x:v>
      </x:c>
      <x:c r="Q172" t="n">
        <x:f>YEAR(B172)</x:f>
        <x:v>2024</x:v>
      </x:c>
      <x:c r="R172" t="str">
        <x:f>TEXT(B172,"yyyy-mm")</x:f>
        <x:v>2024-06</x:v>
      </x:c>
    </x:row>
    <x:row r="173">
      <x:c r="A173" t="n">
        <x:v>10861</x:v>
      </x:c>
      <x:c r="B173" s="10" t="n">
        <x:v>45454</x:v>
      </x:c>
      <x:c r="C173" t="str">
        <x:v>P003</x:v>
      </x:c>
      <x:c r="D173" t="str">
        <x:v>Keyboard</x:v>
      </x:c>
      <x:c r="E173" t="str">
        <x:v>Accessories</x:v>
      </x:c>
      <x:c r="F173" t="str">
        <x:v>Scotland</x:v>
      </x:c>
      <x:c r="G173" t="str">
        <x:v>Online</x:v>
      </x:c>
      <x:c r="H173" t="str">
        <x:v>Completed</x:v>
      </x:c>
      <x:c r="I173" t="n">
        <x:v>1</x:v>
      </x:c>
      <x:c r="J173" s="12" t="n">
        <x:v>48.31</x:v>
      </x:c>
      <x:c r="K173" s="12" t="n">
        <x:v>26.21</x:v>
      </x:c>
      <x:c r="L173" s="14" t="n">
        <x:v>0.1</x:v>
      </x:c>
      <x:c r="M173" s="12" t="n">
        <x:f>IF(H173="Completed",I173*J173*(1-L173),0)</x:f>
        <x:v>43.479000000000006</x:v>
      </x:c>
      <x:c r="N173" s="12" t="n">
        <x:f>IF(H173="Completed",I173*K173,0)</x:f>
        <x:v>26.21</x:v>
      </x:c>
      <x:c r="O173" s="12" t="n">
        <x:f>M173-N173</x:f>
        <x:v>17.269000000000005</x:v>
      </x:c>
      <x:c r="P173" s="16" t="n">
        <x:f>IFERROR(O173/M173,0)</x:f>
        <x:v>0.39718024793578516</x:v>
      </x:c>
      <x:c r="Q173" t="n">
        <x:f>YEAR(B173)</x:f>
        <x:v>2024</x:v>
      </x:c>
      <x:c r="R173" t="str">
        <x:f>TEXT(B173,"yyyy-mm")</x:f>
        <x:v>2024-06</x:v>
      </x:c>
    </x:row>
    <x:row r="174">
      <x:c r="A174" t="n">
        <x:v>10364</x:v>
      </x:c>
      <x:c r="B174" s="10" t="n">
        <x:v>45455</x:v>
      </x:c>
      <x:c r="C174" t="str">
        <x:v>P002</x:v>
      </x:c>
      <x:c r="D174" t="str">
        <x:v>Monitor</x:v>
      </x:c>
      <x:c r="E174" t="str">
        <x:v>Electronics</x:v>
      </x:c>
      <x:c r="F174" t="str">
        <x:v>South</x:v>
      </x:c>
      <x:c r="G174" t="str">
        <x:v>Online</x:v>
      </x:c>
      <x:c r="H174" t="str">
        <x:v>Completed</x:v>
      </x:c>
      <x:c r="I174" t="n">
        <x:v>2</x:v>
      </x:c>
      <x:c r="J174" s="12" t="n">
        <x:v>287.94</x:v>
      </x:c>
      <x:c r="K174" s="12" t="n">
        <x:v>174.95</x:v>
      </x:c>
      <x:c r="L174" s="14" t="n">
        <x:v>0</x:v>
      </x:c>
      <x:c r="M174" s="12" t="n">
        <x:f>IF(H174="Completed",I174*J174*(1-L174),0)</x:f>
        <x:v>575.88</x:v>
      </x:c>
      <x:c r="N174" s="12" t="n">
        <x:f>IF(H174="Completed",I174*K174,0)</x:f>
        <x:v>349.9</x:v>
      </x:c>
      <x:c r="O174" s="12" t="n">
        <x:f>M174-N174</x:f>
        <x:v>225.98000000000002</x:v>
      </x:c>
      <x:c r="P174" s="16" t="n">
        <x:f>IFERROR(O174/M174,0)</x:f>
        <x:v>0.3924081405848441</x:v>
      </x:c>
      <x:c r="Q174" t="n">
        <x:f>YEAR(B174)</x:f>
        <x:v>2024</x:v>
      </x:c>
      <x:c r="R174" t="str">
        <x:f>TEXT(B174,"yyyy-mm")</x:f>
        <x:v>2024-06</x:v>
      </x:c>
    </x:row>
    <x:row r="175">
      <x:c r="A175" t="n">
        <x:v>10379</x:v>
      </x:c>
      <x:c r="B175" s="10" t="n">
        <x:v>45456</x:v>
      </x:c>
      <x:c r="C175" t="str">
        <x:v>P002</x:v>
      </x:c>
      <x:c r="D175" t="str">
        <x:v>Monitor</x:v>
      </x:c>
      <x:c r="E175" t="str">
        <x:v>Electronics</x:v>
      </x:c>
      <x:c r="F175" t="str">
        <x:v>Midlands</x:v>
      </x:c>
      <x:c r="G175" t="str">
        <x:v>Partner</x:v>
      </x:c>
      <x:c r="H175" t="str">
        <x:v>Completed</x:v>
      </x:c>
      <x:c r="I175" t="n">
        <x:v>1</x:v>
      </x:c>
      <x:c r="J175" s="12" t="n">
        <x:v>277.07</x:v>
      </x:c>
      <x:c r="K175" s="12" t="n">
        <x:v>174.61</x:v>
      </x:c>
      <x:c r="L175" s="14" t="n">
        <x:v>0.15</x:v>
      </x:c>
      <x:c r="M175" s="12" t="n">
        <x:f>IF(H175="Completed",I175*J175*(1-L175),0)</x:f>
        <x:v>235.50949999999997</x:v>
      </x:c>
      <x:c r="N175" s="12" t="n">
        <x:f>IF(H175="Completed",I175*K175,0)</x:f>
        <x:v>174.61</x:v>
      </x:c>
      <x:c r="O175" s="12" t="n">
        <x:f>M175-N175</x:f>
        <x:v>60.89949999999996</x:v>
      </x:c>
      <x:c r="P175" s="16" t="n">
        <x:f>IFERROR(O175/M175,0)</x:f>
        <x:v>0.25858617168309544</x:v>
      </x:c>
      <x:c r="Q175" t="n">
        <x:f>YEAR(B175)</x:f>
        <x:v>2024</x:v>
      </x:c>
      <x:c r="R175" t="str">
        <x:f>TEXT(B175,"yyyy-mm")</x:f>
        <x:v>2024-06</x:v>
      </x:c>
    </x:row>
    <x:row r="176">
      <x:c r="A176" t="n">
        <x:v>10215</x:v>
      </x:c>
      <x:c r="B176" s="10" t="n">
        <x:v>45458</x:v>
      </x:c>
      <x:c r="C176" t="str">
        <x:v>P007</x:v>
      </x:c>
      <x:c r="D176" t="str">
        <x:v>Headset</x:v>
      </x:c>
      <x:c r="E176" t="str">
        <x:v>Accessories</x:v>
      </x:c>
      <x:c r="F176" t="str">
        <x:v>South</x:v>
      </x:c>
      <x:c r="G176" t="str">
        <x:v>Online</x:v>
      </x:c>
      <x:c r="H176" t="str">
        <x:v>Cancelled</x:v>
      </x:c>
      <x:c r="I176" t="n">
        <x:v>3</x:v>
      </x:c>
      <x:c r="J176" s="12" t="n">
        <x:v>72.31</x:v>
      </x:c>
      <x:c r="K176" s="12" t="n">
        <x:v>35.29</x:v>
      </x:c>
      <x:c r="L176" s="14" t="n">
        <x:v>0.1</x:v>
      </x:c>
      <x:c r="M176" s="12" t="n">
        <x:f>IF(H176="Completed",I176*J176*(1-L176),0)</x:f>
        <x:v>0</x:v>
      </x:c>
      <x:c r="N176" s="12" t="n">
        <x:f>IF(H176="Completed",I176*K176,0)</x:f>
        <x:v>0</x:v>
      </x:c>
      <x:c r="O176" s="12" t="n">
        <x:f>M176-N176</x:f>
        <x:v>0</x:v>
      </x:c>
      <x:c r="P176" s="16" t="n">
        <x:f>IFERROR(O176/M176,0)</x:f>
        <x:v>0</x:v>
      </x:c>
      <x:c r="Q176" t="n">
        <x:f>YEAR(B176)</x:f>
        <x:v>2024</x:v>
      </x:c>
      <x:c r="R176" t="str">
        <x:f>TEXT(B176,"yyyy-mm")</x:f>
        <x:v>2024-06</x:v>
      </x:c>
    </x:row>
    <x:row r="177">
      <x:c r="A177" t="n">
        <x:v>10533</x:v>
      </x:c>
      <x:c r="B177" s="10" t="n">
        <x:v>45459</x:v>
      </x:c>
      <x:c r="C177" t="str">
        <x:v>P001</x:v>
      </x:c>
      <x:c r="D177" t="str">
        <x:v>Laptop</x:v>
      </x:c>
      <x:c r="E177" t="str">
        <x:v>Electronics</x:v>
      </x:c>
      <x:c r="F177" t="str">
        <x:v>Scotland</x:v>
      </x:c>
      <x:c r="G177" t="str">
        <x:v>Online</x:v>
      </x:c>
      <x:c r="H177" t="str">
        <x:v>Completed</x:v>
      </x:c>
      <x:c r="I177" t="n">
        <x:v>2</x:v>
      </x:c>
      <x:c r="J177" s="12" t="n">
        <x:v>940.35</x:v>
      </x:c>
      <x:c r="K177" s="12" t="n">
        <x:v>615.65</x:v>
      </x:c>
      <x:c r="L177" s="14" t="n">
        <x:v>0.05</x:v>
      </x:c>
      <x:c r="M177" s="12" t="n">
        <x:f>IF(H177="Completed",I177*J177*(1-L177),0)</x:f>
        <x:v>1786.665</x:v>
      </x:c>
      <x:c r="N177" s="12" t="n">
        <x:f>IF(H177="Completed",I177*K177,0)</x:f>
        <x:v>1231.3</x:v>
      </x:c>
      <x:c r="O177" s="12" t="n">
        <x:f>M177-N177</x:f>
        <x:v>555.365</x:v>
      </x:c>
      <x:c r="P177" s="16" t="n">
        <x:f>IFERROR(O177/M177,0)</x:f>
        <x:v>0.31083890936465425</x:v>
      </x:c>
      <x:c r="Q177" t="n">
        <x:f>YEAR(B177)</x:f>
        <x:v>2024</x:v>
      </x:c>
      <x:c r="R177" t="str">
        <x:f>TEXT(B177,"yyyy-mm")</x:f>
        <x:v>2024-06</x:v>
      </x:c>
    </x:row>
    <x:row r="178">
      <x:c r="A178" t="n">
        <x:v>10754</x:v>
      </x:c>
      <x:c r="B178" s="10" t="n">
        <x:v>45459</x:v>
      </x:c>
      <x:c r="C178" t="str">
        <x:v>P001</x:v>
      </x:c>
      <x:c r="D178" t="str">
        <x:v>Laptop</x:v>
      </x:c>
      <x:c r="E178" t="str">
        <x:v>Electronics</x:v>
      </x:c>
      <x:c r="F178" t="str">
        <x:v>Midlands</x:v>
      </x:c>
      <x:c r="G178" t="str">
        <x:v>Retail</x:v>
      </x:c>
      <x:c r="H178" t="str">
        <x:v>Completed</x:v>
      </x:c>
      <x:c r="I178" t="n">
        <x:v>3</x:v>
      </x:c>
      <x:c r="J178" s="12" t="n">
        <x:v>911.07</x:v>
      </x:c>
      <x:c r="K178" s="12" t="n">
        <x:v>624.02</x:v>
      </x:c>
      <x:c r="L178" s="14" t="n">
        <x:v>0</x:v>
      </x:c>
      <x:c r="M178" s="12" t="n">
        <x:f>IF(H178="Completed",I178*J178*(1-L178),0)</x:f>
        <x:v>2733.21</x:v>
      </x:c>
      <x:c r="N178" s="12" t="n">
        <x:f>IF(H178="Completed",I178*K178,0)</x:f>
        <x:v>1872.06</x:v>
      </x:c>
      <x:c r="O178" s="12" t="n">
        <x:f>M178-N178</x:f>
        <x:v>861.1500000000001</x:v>
      </x:c>
      <x:c r="P178" s="16" t="n">
        <x:f>IFERROR(O178/M178,0)</x:f>
        <x:v>0.315069094581097</x:v>
      </x:c>
      <x:c r="Q178" t="n">
        <x:f>YEAR(B178)</x:f>
        <x:v>2024</x:v>
      </x:c>
      <x:c r="R178" t="str">
        <x:f>TEXT(B178,"yyyy-mm")</x:f>
        <x:v>2024-06</x:v>
      </x:c>
    </x:row>
    <x:row r="179">
      <x:c r="A179" t="n">
        <x:v>10119</x:v>
      </x:c>
      <x:c r="B179" s="10" t="n">
        <x:v>45460</x:v>
      </x:c>
      <x:c r="C179" t="str">
        <x:v>P005</x:v>
      </x:c>
      <x:c r="D179" t="str">
        <x:v>Desk</x:v>
      </x:c>
      <x:c r="E179" t="str">
        <x:v>Furniture</x:v>
      </x:c>
      <x:c r="F179" t="str">
        <x:v>Wales</x:v>
      </x:c>
      <x:c r="G179" t="str">
        <x:v>Online</x:v>
      </x:c>
      <x:c r="H179" t="str">
        <x:v>Completed</x:v>
      </x:c>
      <x:c r="I179" t="n">
        <x:v>4</x:v>
      </x:c>
      <x:c r="J179" s="12" t="n">
        <x:v>275.77</x:v>
      </x:c>
      <x:c r="K179" s="12" t="n">
        <x:v>152.48</x:v>
      </x:c>
      <x:c r="L179" s="14" t="n">
        <x:v>0</x:v>
      </x:c>
      <x:c r="M179" s="12" t="n">
        <x:f>IF(H179="Completed",I179*J179*(1-L179),0)</x:f>
        <x:v>1103.08</x:v>
      </x:c>
      <x:c r="N179" s="12" t="n">
        <x:f>IF(H179="Completed",I179*K179,0)</x:f>
        <x:v>609.92</x:v>
      </x:c>
      <x:c r="O179" s="12" t="n">
        <x:f>M179-N179</x:f>
        <x:v>493.15999999999997</x:v>
      </x:c>
      <x:c r="P179" s="16" t="n">
        <x:f>IFERROR(O179/M179,0)</x:f>
        <x:v>0.447075461435254</x:v>
      </x:c>
      <x:c r="Q179" t="n">
        <x:f>YEAR(B179)</x:f>
        <x:v>2024</x:v>
      </x:c>
      <x:c r="R179" t="str">
        <x:f>TEXT(B179,"yyyy-mm")</x:f>
        <x:v>2024-06</x:v>
      </x:c>
    </x:row>
    <x:row r="180">
      <x:c r="A180" t="n">
        <x:v>10380</x:v>
      </x:c>
      <x:c r="B180" s="10" t="n">
        <x:v>45460</x:v>
      </x:c>
      <x:c r="C180" t="str">
        <x:v>P007</x:v>
      </x:c>
      <x:c r="D180" t="str">
        <x:v>Headset</x:v>
      </x:c>
      <x:c r="E180" t="str">
        <x:v>Accessories</x:v>
      </x:c>
      <x:c r="F180" t="str">
        <x:v>North</x:v>
      </x:c>
      <x:c r="G180" t="str">
        <x:v>Online</x:v>
      </x:c>
      <x:c r="H180" t="str">
        <x:v>Completed</x:v>
      </x:c>
      <x:c r="I180" t="n">
        <x:v>2</x:v>
      </x:c>
      <x:c r="J180" s="12" t="n">
        <x:v>73.35</x:v>
      </x:c>
      <x:c r="K180" s="12" t="n">
        <x:v>35.56</x:v>
      </x:c>
      <x:c r="L180" s="14" t="n">
        <x:v>0.05</x:v>
      </x:c>
      <x:c r="M180" s="12" t="n">
        <x:f>IF(H180="Completed",I180*J180*(1-L180),0)</x:f>
        <x:v>139.36499999999998</x:v>
      </x:c>
      <x:c r="N180" s="12" t="n">
        <x:f>IF(H180="Completed",I180*K180,0)</x:f>
        <x:v>71.12</x:v>
      </x:c>
      <x:c r="O180" s="12" t="n">
        <x:f>M180-N180</x:f>
        <x:v>68.24499999999998</x:v>
      </x:c>
      <x:c r="P180" s="16" t="n">
        <x:f>IFERROR(O180/M180,0)</x:f>
        <x:v>0.4896853585907508</x:v>
      </x:c>
      <x:c r="Q180" t="n">
        <x:f>YEAR(B180)</x:f>
        <x:v>2024</x:v>
      </x:c>
      <x:c r="R180" t="str">
        <x:f>TEXT(B180,"yyyy-mm")</x:f>
        <x:v>2024-06</x:v>
      </x:c>
    </x:row>
    <x:row r="181">
      <x:c r="A181" t="n">
        <x:v>10826</x:v>
      </x:c>
      <x:c r="B181" s="10" t="n">
        <x:v>45460</x:v>
      </x:c>
      <x:c r="C181" t="str">
        <x:v>P006</x:v>
      </x:c>
      <x:c r="D181" t="str">
        <x:v>Chair</x:v>
      </x:c>
      <x:c r="E181" t="str">
        <x:v>Furniture</x:v>
      </x:c>
      <x:c r="F181" t="str">
        <x:v>Scotland</x:v>
      </x:c>
      <x:c r="G181" t="str">
        <x:v>Online</x:v>
      </x:c>
      <x:c r="H181" t="str">
        <x:v>Completed</x:v>
      </x:c>
      <x:c r="I181" t="n">
        <x:v>4</x:v>
      </x:c>
      <x:c r="J181" s="12" t="n">
        <x:v>132.74</x:v>
      </x:c>
      <x:c r="K181" s="12" t="n">
        <x:v>66.83</x:v>
      </x:c>
      <x:c r="L181" s="14" t="n">
        <x:v>0</x:v>
      </x:c>
      <x:c r="M181" s="12" t="n">
        <x:f>IF(H181="Completed",I181*J181*(1-L181),0)</x:f>
        <x:v>530.96</x:v>
      </x:c>
      <x:c r="N181" s="12" t="n">
        <x:f>IF(H181="Completed",I181*K181,0)</x:f>
        <x:v>267.32</x:v>
      </x:c>
      <x:c r="O181" s="12" t="n">
        <x:f>M181-N181</x:f>
        <x:v>263.64000000000004</x:v>
      </x:c>
      <x:c r="P181" s="16" t="n">
        <x:f>IFERROR(O181/M181,0)</x:f>
        <x:v>0.4965345788759982</x:v>
      </x:c>
      <x:c r="Q181" t="n">
        <x:f>YEAR(B181)</x:f>
        <x:v>2024</x:v>
      </x:c>
      <x:c r="R181" t="str">
        <x:f>TEXT(B181,"yyyy-mm")</x:f>
        <x:v>2024-06</x:v>
      </x:c>
    </x:row>
    <x:row r="182">
      <x:c r="A182" t="n">
        <x:v>10496</x:v>
      </x:c>
      <x:c r="B182" s="10" t="n">
        <x:v>45462</x:v>
      </x:c>
      <x:c r="C182" t="str">
        <x:v>P005</x:v>
      </x:c>
      <x:c r="D182" t="str">
        <x:v>Desk</x:v>
      </x:c>
      <x:c r="E182" t="str">
        <x:v>Furniture</x:v>
      </x:c>
      <x:c r="F182" t="str">
        <x:v>South</x:v>
      </x:c>
      <x:c r="G182" t="str">
        <x:v>Online</x:v>
      </x:c>
      <x:c r="H182" t="str">
        <x:v>Cancelled</x:v>
      </x:c>
      <x:c r="I182" t="n">
        <x:v>2</x:v>
      </x:c>
      <x:c r="J182" s="12" t="n">
        <x:v>267.11</x:v>
      </x:c>
      <x:c r="K182" s="12" t="n">
        <x:v>157.48</x:v>
      </x:c>
      <x:c r="L182" s="14" t="n">
        <x:v>0.15</x:v>
      </x:c>
      <x:c r="M182" s="12" t="n">
        <x:f>IF(H182="Completed",I182*J182*(1-L182),0)</x:f>
        <x:v>0</x:v>
      </x:c>
      <x:c r="N182" s="12" t="n">
        <x:f>IF(H182="Completed",I182*K182,0)</x:f>
        <x:v>0</x:v>
      </x:c>
      <x:c r="O182" s="12" t="n">
        <x:f>M182-N182</x:f>
        <x:v>0</x:v>
      </x:c>
      <x:c r="P182" s="16" t="n">
        <x:f>IFERROR(O182/M182,0)</x:f>
        <x:v>0</x:v>
      </x:c>
      <x:c r="Q182" t="n">
        <x:f>YEAR(B182)</x:f>
        <x:v>2024</x:v>
      </x:c>
      <x:c r="R182" t="str">
        <x:f>TEXT(B182,"yyyy-mm")</x:f>
        <x:v>2024-06</x:v>
      </x:c>
    </x:row>
    <x:row r="183">
      <x:c r="A183" t="n">
        <x:v>10282</x:v>
      </x:c>
      <x:c r="B183" s="10" t="n">
        <x:v>45463</x:v>
      </x:c>
      <x:c r="C183" t="str">
        <x:v>P007</x:v>
      </x:c>
      <x:c r="D183" t="str">
        <x:v>Headset</x:v>
      </x:c>
      <x:c r="E183" t="str">
        <x:v>Accessories</x:v>
      </x:c>
      <x:c r="F183" t="str">
        <x:v>Midlands</x:v>
      </x:c>
      <x:c r="G183" t="str">
        <x:v>Online</x:v>
      </x:c>
      <x:c r="H183" t="str">
        <x:v>Completed</x:v>
      </x:c>
      <x:c r="I183" t="n">
        <x:v>3</x:v>
      </x:c>
      <x:c r="J183" s="12" t="n">
        <x:v>71.11</x:v>
      </x:c>
      <x:c r="K183" s="12" t="n">
        <x:v>34.73</x:v>
      </x:c>
      <x:c r="L183" s="14" t="n">
        <x:v>0</x:v>
      </x:c>
      <x:c r="M183" s="12" t="n">
        <x:f>IF(H183="Completed",I183*J183*(1-L183),0)</x:f>
        <x:v>213.32999999999998</x:v>
      </x:c>
      <x:c r="N183" s="12" t="n">
        <x:f>IF(H183="Completed",I183*K183,0)</x:f>
        <x:v>104.19</x:v>
      </x:c>
      <x:c r="O183" s="12" t="n">
        <x:f>M183-N183</x:f>
        <x:v>109.13999999999999</x:v>
      </x:c>
      <x:c r="P183" s="16" t="n">
        <x:f>IFERROR(O183/M183,0)</x:f>
        <x:v>0.5116017437772465</x:v>
      </x:c>
      <x:c r="Q183" t="n">
        <x:f>YEAR(B183)</x:f>
        <x:v>2024</x:v>
      </x:c>
      <x:c r="R183" t="str">
        <x:f>TEXT(B183,"yyyy-mm")</x:f>
        <x:v>2024-06</x:v>
      </x:c>
    </x:row>
    <x:row r="184">
      <x:c r="A184" t="n">
        <x:v>10468</x:v>
      </x:c>
      <x:c r="B184" s="10" t="n">
        <x:v>45463</x:v>
      </x:c>
      <x:c r="C184" t="str">
        <x:v>P001</x:v>
      </x:c>
      <x:c r="D184" t="str">
        <x:v>Laptop</x:v>
      </x:c>
      <x:c r="E184" t="str">
        <x:v>Electronics</x:v>
      </x:c>
      <x:c r="F184" t="str">
        <x:v>North</x:v>
      </x:c>
      <x:c r="G184" t="str">
        <x:v>Retail</x:v>
      </x:c>
      <x:c r="H184" t="str">
        <x:v>Completed</x:v>
      </x:c>
      <x:c r="I184" t="n">
        <x:v>1</x:v>
      </x:c>
      <x:c r="J184" s="12" t="n">
        <x:v>919.72</x:v>
      </x:c>
      <x:c r="K184" s="12" t="n">
        <x:v>610.82</x:v>
      </x:c>
      <x:c r="L184" s="14" t="n">
        <x:v>0.15</x:v>
      </x:c>
      <x:c r="M184" s="12" t="n">
        <x:f>IF(H184="Completed",I184*J184*(1-L184),0)</x:f>
        <x:v>781.7620000000001</x:v>
      </x:c>
      <x:c r="N184" s="12" t="n">
        <x:f>IF(H184="Completed",I184*K184,0)</x:f>
        <x:v>610.82</x:v>
      </x:c>
      <x:c r="O184" s="12" t="n">
        <x:f>M184-N184</x:f>
        <x:v>170.942</x:v>
      </x:c>
      <x:c r="P184" s="16" t="n">
        <x:f>IFERROR(O184/M184,0)</x:f>
        <x:v>0.2186624573719367</x:v>
      </x:c>
      <x:c r="Q184" t="n">
        <x:f>YEAR(B184)</x:f>
        <x:v>2024</x:v>
      </x:c>
      <x:c r="R184" t="str">
        <x:f>TEXT(B184,"yyyy-mm")</x:f>
        <x:v>2024-06</x:v>
      </x:c>
    </x:row>
    <x:row r="185">
      <x:c r="A185" t="n">
        <x:v>10312</x:v>
      </x:c>
      <x:c r="B185" s="10" t="n">
        <x:v>45464</x:v>
      </x:c>
      <x:c r="C185" t="str">
        <x:v>P006</x:v>
      </x:c>
      <x:c r="D185" t="str">
        <x:v>Chair</x:v>
      </x:c>
      <x:c r="E185" t="str">
        <x:v>Furniture</x:v>
      </x:c>
      <x:c r="F185" t="str">
        <x:v>Midlands</x:v>
      </x:c>
      <x:c r="G185" t="str">
        <x:v>Online</x:v>
      </x:c>
      <x:c r="H185" t="str">
        <x:v>Cancelled</x:v>
      </x:c>
      <x:c r="I185" t="n">
        <x:v>3</x:v>
      </x:c>
      <x:c r="J185" s="12" t="n">
        <x:v>138.65</x:v>
      </x:c>
      <x:c r="K185" s="12" t="n">
        <x:v>67.1</x:v>
      </x:c>
      <x:c r="L185" s="14" t="n">
        <x:v>0.15</x:v>
      </x:c>
      <x:c r="M185" s="12" t="n">
        <x:f>IF(H185="Completed",I185*J185*(1-L185),0)</x:f>
        <x:v>0</x:v>
      </x:c>
      <x:c r="N185" s="12" t="n">
        <x:f>IF(H185="Completed",I185*K185,0)</x:f>
        <x:v>0</x:v>
      </x:c>
      <x:c r="O185" s="12" t="n">
        <x:f>M185-N185</x:f>
        <x:v>0</x:v>
      </x:c>
      <x:c r="P185" s="16" t="n">
        <x:f>IFERROR(O185/M185,0)</x:f>
        <x:v>0</x:v>
      </x:c>
      <x:c r="Q185" t="n">
        <x:f>YEAR(B185)</x:f>
        <x:v>2024</x:v>
      </x:c>
      <x:c r="R185" t="str">
        <x:f>TEXT(B185,"yyyy-mm")</x:f>
        <x:v>2024-06</x:v>
      </x:c>
    </x:row>
    <x:row r="186">
      <x:c r="A186" t="n">
        <x:v>10422</x:v>
      </x:c>
      <x:c r="B186" s="10" t="n">
        <x:v>45465</x:v>
      </x:c>
      <x:c r="C186" t="str">
        <x:v>P002</x:v>
      </x:c>
      <x:c r="D186" t="str">
        <x:v>Monitor</x:v>
      </x:c>
      <x:c r="E186" t="str">
        <x:v>Electronics</x:v>
      </x:c>
      <x:c r="F186" t="str">
        <x:v>South</x:v>
      </x:c>
      <x:c r="G186" t="str">
        <x:v>Retail</x:v>
      </x:c>
      <x:c r="H186" t="str">
        <x:v>Completed</x:v>
      </x:c>
      <x:c r="I186" t="n">
        <x:v>3</x:v>
      </x:c>
      <x:c r="J186" s="12" t="n">
        <x:v>281.55</x:v>
      </x:c>
      <x:c r="K186" s="12" t="n">
        <x:v>171.15</x:v>
      </x:c>
      <x:c r="L186" s="14" t="n">
        <x:v>0.15</x:v>
      </x:c>
      <x:c r="M186" s="12" t="n">
        <x:f>IF(H186="Completed",I186*J186*(1-L186),0)</x:f>
        <x:v>717.9525000000001</x:v>
      </x:c>
      <x:c r="N186" s="12" t="n">
        <x:f>IF(H186="Completed",I186*K186,0)</x:f>
        <x:v>513.45</x:v>
      </x:c>
      <x:c r="O186" s="12" t="n">
        <x:f>M186-N186</x:f>
        <x:v>204.50250000000005</x:v>
      </x:c>
      <x:c r="P186" s="16" t="n">
        <x:f>IFERROR(O186/M186,0)</x:f>
        <x:v>0.2848412673540381</x:v>
      </x:c>
      <x:c r="Q186" t="n">
        <x:f>YEAR(B186)</x:f>
        <x:v>2024</x:v>
      </x:c>
      <x:c r="R186" t="str">
        <x:f>TEXT(B186,"yyyy-mm")</x:f>
        <x:v>2024-06</x:v>
      </x:c>
    </x:row>
    <x:row r="187">
      <x:c r="A187" t="n">
        <x:v>10590</x:v>
      </x:c>
      <x:c r="B187" s="10" t="n">
        <x:v>45465</x:v>
      </x:c>
      <x:c r="C187" t="str">
        <x:v>P006</x:v>
      </x:c>
      <x:c r="D187" t="str">
        <x:v>Chair</x:v>
      </x:c>
      <x:c r="E187" t="str">
        <x:v>Furniture</x:v>
      </x:c>
      <x:c r="F187" t="str">
        <x:v>South</x:v>
      </x:c>
      <x:c r="G187" t="str">
        <x:v>Online</x:v>
      </x:c>
      <x:c r="H187" t="str">
        <x:v>Completed</x:v>
      </x:c>
      <x:c r="I187" t="n">
        <x:v>4</x:v>
      </x:c>
      <x:c r="J187" s="12" t="n">
        <x:v>137.43</x:v>
      </x:c>
      <x:c r="K187" s="12" t="n">
        <x:v>67.17</x:v>
      </x:c>
      <x:c r="L187" s="14" t="n">
        <x:v>0</x:v>
      </x:c>
      <x:c r="M187" s="12" t="n">
        <x:f>IF(H187="Completed",I187*J187*(1-L187),0)</x:f>
        <x:v>549.72</x:v>
      </x:c>
      <x:c r="N187" s="12" t="n">
        <x:f>IF(H187="Completed",I187*K187,0)</x:f>
        <x:v>268.68</x:v>
      </x:c>
      <x:c r="O187" s="12" t="n">
        <x:f>M187-N187</x:f>
        <x:v>281.04</x:v>
      </x:c>
      <x:c r="P187" s="16" t="n">
        <x:f>IFERROR(O187/M187,0)</x:f>
        <x:v>0.5112420868805938</x:v>
      </x:c>
      <x:c r="Q187" t="n">
        <x:f>YEAR(B187)</x:f>
        <x:v>2024</x:v>
      </x:c>
      <x:c r="R187" t="str">
        <x:f>TEXT(B187,"yyyy-mm")</x:f>
        <x:v>2024-06</x:v>
      </x:c>
    </x:row>
    <x:row r="188">
      <x:c r="A188" t="n">
        <x:v>10896</x:v>
      </x:c>
      <x:c r="B188" s="10" t="n">
        <x:v>45465</x:v>
      </x:c>
      <x:c r="C188" t="str">
        <x:v>P001</x:v>
      </x:c>
      <x:c r="D188" t="str">
        <x:v>Laptop</x:v>
      </x:c>
      <x:c r="E188" t="str">
        <x:v>Electronics</x:v>
      </x:c>
      <x:c r="F188" t="str">
        <x:v>North</x:v>
      </x:c>
      <x:c r="G188" t="str">
        <x:v>Retail</x:v>
      </x:c>
      <x:c r="H188" t="str">
        <x:v>Completed</x:v>
      </x:c>
      <x:c r="I188" t="n">
        <x:v>3</x:v>
      </x:c>
      <x:c r="J188" s="12" t="n">
        <x:v>898.76</x:v>
      </x:c>
      <x:c r="K188" s="12" t="n">
        <x:v>612.02</x:v>
      </x:c>
      <x:c r="L188" s="14" t="n">
        <x:v>0.05</x:v>
      </x:c>
      <x:c r="M188" s="12" t="n">
        <x:f>IF(H188="Completed",I188*J188*(1-L188),0)</x:f>
        <x:v>2561.4659999999994</x:v>
      </x:c>
      <x:c r="N188" s="12" t="n">
        <x:f>IF(H188="Completed",I188*K188,0)</x:f>
        <x:v>1836.06</x:v>
      </x:c>
      <x:c r="O188" s="12" t="n">
        <x:f>M188-N188</x:f>
        <x:v>725.4059999999995</x:v>
      </x:c>
      <x:c r="P188" s="16" t="n">
        <x:f>IFERROR(O188/M188,0)</x:f>
        <x:v>0.2831995427618402</x:v>
      </x:c>
      <x:c r="Q188" t="n">
        <x:f>YEAR(B188)</x:f>
        <x:v>2024</x:v>
      </x:c>
      <x:c r="R188" t="str">
        <x:f>TEXT(B188,"yyyy-mm")</x:f>
        <x:v>2024-06</x:v>
      </x:c>
    </x:row>
    <x:row r="189">
      <x:c r="A189" t="n">
        <x:v>10383</x:v>
      </x:c>
      <x:c r="B189" s="10" t="n">
        <x:v>45466</x:v>
      </x:c>
      <x:c r="C189" t="str">
        <x:v>P005</x:v>
      </x:c>
      <x:c r="D189" t="str">
        <x:v>Desk</x:v>
      </x:c>
      <x:c r="E189" t="str">
        <x:v>Furniture</x:v>
      </x:c>
      <x:c r="F189" t="str">
        <x:v>South</x:v>
      </x:c>
      <x:c r="G189" t="str">
        <x:v>Online</x:v>
      </x:c>
      <x:c r="H189" t="str">
        <x:v>Completed</x:v>
      </x:c>
      <x:c r="I189" t="n">
        <x:v>1</x:v>
      </x:c>
      <x:c r="J189" s="12" t="n">
        <x:v>276.17</x:v>
      </x:c>
      <x:c r="K189" s="12" t="n">
        <x:v>157.02</x:v>
      </x:c>
      <x:c r="L189" s="14" t="n">
        <x:v>0.05</x:v>
      </x:c>
      <x:c r="M189" s="12" t="n">
        <x:f>IF(H189="Completed",I189*J189*(1-L189),0)</x:f>
        <x:v>262.3615</x:v>
      </x:c>
      <x:c r="N189" s="12" t="n">
        <x:f>IF(H189="Completed",I189*K189,0)</x:f>
        <x:v>157.02</x:v>
      </x:c>
      <x:c r="O189" s="12" t="n">
        <x:f>M189-N189</x:f>
        <x:v>105.34149999999997</x:v>
      </x:c>
      <x:c r="P189" s="16" t="n">
        <x:f>IFERROR(O189/M189,0)</x:f>
        <x:v>0.4015127981811355</x:v>
      </x:c>
      <x:c r="Q189" t="n">
        <x:f>YEAR(B189)</x:f>
        <x:v>2024</x:v>
      </x:c>
      <x:c r="R189" t="str">
        <x:f>TEXT(B189,"yyyy-mm")</x:f>
        <x:v>2024-06</x:v>
      </x:c>
    </x:row>
    <x:row r="190">
      <x:c r="A190" t="n">
        <x:v>10650</x:v>
      </x:c>
      <x:c r="B190" s="10" t="n">
        <x:v>45466</x:v>
      </x:c>
      <x:c r="C190" t="str">
        <x:v>P005</x:v>
      </x:c>
      <x:c r="D190" t="str">
        <x:v>Desk</x:v>
      </x:c>
      <x:c r="E190" t="str">
        <x:v>Furniture</x:v>
      </x:c>
      <x:c r="F190" t="str">
        <x:v>South</x:v>
      </x:c>
      <x:c r="G190" t="str">
        <x:v>Online</x:v>
      </x:c>
      <x:c r="H190" t="str">
        <x:v>Completed</x:v>
      </x:c>
      <x:c r="I190" t="n">
        <x:v>3</x:v>
      </x:c>
      <x:c r="J190" s="12" t="n">
        <x:v>282.49</x:v>
      </x:c>
      <x:c r="K190" s="12" t="n">
        <x:v>158.07</x:v>
      </x:c>
      <x:c r="L190" s="14" t="n">
        <x:v>0.05</x:v>
      </x:c>
      <x:c r="M190" s="12" t="n">
        <x:f>IF(H190="Completed",I190*J190*(1-L190),0)</x:f>
        <x:v>805.0965</x:v>
      </x:c>
      <x:c r="N190" s="12" t="n">
        <x:f>IF(H190="Completed",I190*K190,0)</x:f>
        <x:v>474.21</x:v>
      </x:c>
      <x:c r="O190" s="12" t="n">
        <x:f>M190-N190</x:f>
        <x:v>330.8865</x:v>
      </x:c>
      <x:c r="P190" s="16" t="n">
        <x:f>IFERROR(O190/M190,0)</x:f>
        <x:v>0.41098986270589927</x:v>
      </x:c>
      <x:c r="Q190" t="n">
        <x:f>YEAR(B190)</x:f>
        <x:v>2024</x:v>
      </x:c>
      <x:c r="R190" t="str">
        <x:f>TEXT(B190,"yyyy-mm")</x:f>
        <x:v>2024-06</x:v>
      </x:c>
    </x:row>
    <x:row r="191">
      <x:c r="A191" t="n">
        <x:v>10087</x:v>
      </x:c>
      <x:c r="B191" s="10" t="n">
        <x:v>45469</x:v>
      </x:c>
      <x:c r="C191" t="str">
        <x:v>P002</x:v>
      </x:c>
      <x:c r="D191" t="str">
        <x:v>Monitor</x:v>
      </x:c>
      <x:c r="E191" t="str">
        <x:v>Electronics</x:v>
      </x:c>
      <x:c r="F191" t="str">
        <x:v>North</x:v>
      </x:c>
      <x:c r="G191" t="str">
        <x:v>Online</x:v>
      </x:c>
      <x:c r="H191" t="str">
        <x:v>Cancelled</x:v>
      </x:c>
      <x:c r="I191" t="n">
        <x:v>2</x:v>
      </x:c>
      <x:c r="J191" s="12" t="n">
        <x:v>282.26</x:v>
      </x:c>
      <x:c r="K191" s="12" t="n">
        <x:v>168.57</x:v>
      </x:c>
      <x:c r="L191" s="14" t="n">
        <x:v>0.05</x:v>
      </x:c>
      <x:c r="M191" s="12" t="n">
        <x:f>IF(H191="Completed",I191*J191*(1-L191),0)</x:f>
        <x:v>0</x:v>
      </x:c>
      <x:c r="N191" s="12" t="n">
        <x:f>IF(H191="Completed",I191*K191,0)</x:f>
        <x:v>0</x:v>
      </x:c>
      <x:c r="O191" s="12" t="n">
        <x:f>M191-N191</x:f>
        <x:v>0</x:v>
      </x:c>
      <x:c r="P191" s="16" t="n">
        <x:f>IFERROR(O191/M191,0)</x:f>
        <x:v>0</x:v>
      </x:c>
      <x:c r="Q191" t="n">
        <x:f>YEAR(B191)</x:f>
        <x:v>2024</x:v>
      </x:c>
      <x:c r="R191" t="str">
        <x:f>TEXT(B191,"yyyy-mm")</x:f>
        <x:v>2024-06</x:v>
      </x:c>
    </x:row>
    <x:row r="192">
      <x:c r="A192" t="n">
        <x:v>10154</x:v>
      </x:c>
      <x:c r="B192" s="10" t="n">
        <x:v>45469</x:v>
      </x:c>
      <x:c r="C192" t="str">
        <x:v>P003</x:v>
      </x:c>
      <x:c r="D192" t="str">
        <x:v>Keyboard</x:v>
      </x:c>
      <x:c r="E192" t="str">
        <x:v>Accessories</x:v>
      </x:c>
      <x:c r="F192" t="str">
        <x:v>North</x:v>
      </x:c>
      <x:c r="G192" t="str">
        <x:v>Retail</x:v>
      </x:c>
      <x:c r="H192" t="str">
        <x:v>Completed</x:v>
      </x:c>
      <x:c r="I192" t="n">
        <x:v>1</x:v>
      </x:c>
      <x:c r="J192" s="12" t="n">
        <x:v>50.12</x:v>
      </x:c>
      <x:c r="K192" s="12" t="n">
        <x:v>26.47</x:v>
      </x:c>
      <x:c r="L192" s="14" t="n">
        <x:v>0.05</x:v>
      </x:c>
      <x:c r="M192" s="12" t="n">
        <x:f>IF(H192="Completed",I192*J192*(1-L192),0)</x:f>
        <x:v>47.614</x:v>
      </x:c>
      <x:c r="N192" s="12" t="n">
        <x:f>IF(H192="Completed",I192*K192,0)</x:f>
        <x:v>26.47</x:v>
      </x:c>
      <x:c r="O192" s="12" t="n">
        <x:f>M192-N192</x:f>
        <x:v>21.144</x:v>
      </x:c>
      <x:c r="P192" s="16" t="n">
        <x:f>IFERROR(O192/M192,0)</x:f>
        <x:v>0.44407107153358255</x:v>
      </x:c>
      <x:c r="Q192" t="n">
        <x:f>YEAR(B192)</x:f>
        <x:v>2024</x:v>
      </x:c>
      <x:c r="R192" t="str">
        <x:f>TEXT(B192,"yyyy-mm")</x:f>
        <x:v>2024-06</x:v>
      </x:c>
    </x:row>
    <x:row r="193">
      <x:c r="A193" t="n">
        <x:v>10430</x:v>
      </x:c>
      <x:c r="B193" s="10" t="n">
        <x:v>45470</x:v>
      </x:c>
      <x:c r="C193" t="str">
        <x:v>P001</x:v>
      </x:c>
      <x:c r="D193" t="str">
        <x:v>Laptop</x:v>
      </x:c>
      <x:c r="E193" t="str">
        <x:v>Electronics</x:v>
      </x:c>
      <x:c r="F193" t="str">
        <x:v>Midlands</x:v>
      </x:c>
      <x:c r="G193" t="str">
        <x:v>Retail</x:v>
      </x:c>
      <x:c r="H193" t="str">
        <x:v>Completed</x:v>
      </x:c>
      <x:c r="I193" t="n">
        <x:v>3</x:v>
      </x:c>
      <x:c r="J193" s="12" t="n">
        <x:v>899.86</x:v>
      </x:c>
      <x:c r="K193" s="12" t="n">
        <x:v>633.99</x:v>
      </x:c>
      <x:c r="L193" s="14" t="n">
        <x:v>0.15</x:v>
      </x:c>
      <x:c r="M193" s="12" t="n">
        <x:f>IF(H193="Completed",I193*J193*(1-L193),0)</x:f>
        <x:v>2294.643</x:v>
      </x:c>
      <x:c r="N193" s="12" t="n">
        <x:f>IF(H193="Completed",I193*K193,0)</x:f>
        <x:v>1901.97</x:v>
      </x:c>
      <x:c r="O193" s="12" t="n">
        <x:f>M193-N193</x:f>
        <x:v>392.673</x:v>
      </x:c>
      <x:c r="P193" s="16" t="n">
        <x:f>IFERROR(O193/M193,0)</x:f>
        <x:v>0.17112596599993987</x:v>
      </x:c>
      <x:c r="Q193" t="n">
        <x:f>YEAR(B193)</x:f>
        <x:v>2024</x:v>
      </x:c>
      <x:c r="R193" t="str">
        <x:f>TEXT(B193,"yyyy-mm")</x:f>
        <x:v>2024-06</x:v>
      </x:c>
    </x:row>
    <x:row r="194">
      <x:c r="A194" t="n">
        <x:v>10527</x:v>
      </x:c>
      <x:c r="B194" s="10" t="n">
        <x:v>45470</x:v>
      </x:c>
      <x:c r="C194" t="str">
        <x:v>P008</x:v>
      </x:c>
      <x:c r="D194" t="str">
        <x:v>Webcam</x:v>
      </x:c>
      <x:c r="E194" t="str">
        <x:v>Electronics</x:v>
      </x:c>
      <x:c r="F194" t="str">
        <x:v>South</x:v>
      </x:c>
      <x:c r="G194" t="str">
        <x:v>Online</x:v>
      </x:c>
      <x:c r="H194" t="str">
        <x:v>Completed</x:v>
      </x:c>
      <x:c r="I194" t="n">
        <x:v>1</x:v>
      </x:c>
      <x:c r="J194" s="12" t="n">
        <x:v>90.53</x:v>
      </x:c>
      <x:c r="K194" s="12" t="n">
        <x:v>41.96</x:v>
      </x:c>
      <x:c r="L194" s="14" t="n">
        <x:v>0</x:v>
      </x:c>
      <x:c r="M194" s="12" t="n">
        <x:f>IF(H194="Completed",I194*J194*(1-L194),0)</x:f>
        <x:v>90.53</x:v>
      </x:c>
      <x:c r="N194" s="12" t="n">
        <x:f>IF(H194="Completed",I194*K194,0)</x:f>
        <x:v>41.96</x:v>
      </x:c>
      <x:c r="O194" s="12" t="n">
        <x:f>M194-N194</x:f>
        <x:v>48.57</x:v>
      </x:c>
      <x:c r="P194" s="16" t="n">
        <x:f>IFERROR(O194/M194,0)</x:f>
        <x:v>0.5365072351706617</x:v>
      </x:c>
      <x:c r="Q194" t="n">
        <x:f>YEAR(B194)</x:f>
        <x:v>2024</x:v>
      </x:c>
      <x:c r="R194" t="str">
        <x:f>TEXT(B194,"yyyy-mm")</x:f>
        <x:v>2024-06</x:v>
      </x:c>
    </x:row>
    <x:row r="195">
      <x:c r="A195" t="n">
        <x:v>10936</x:v>
      </x:c>
      <x:c r="B195" s="10" t="n">
        <x:v>45470</x:v>
      </x:c>
      <x:c r="C195" t="str">
        <x:v>P006</x:v>
      </x:c>
      <x:c r="D195" t="str">
        <x:v>Chair</x:v>
      </x:c>
      <x:c r="E195" t="str">
        <x:v>Furniture</x:v>
      </x:c>
      <x:c r="F195" t="str">
        <x:v>North</x:v>
      </x:c>
      <x:c r="G195" t="str">
        <x:v>Online</x:v>
      </x:c>
      <x:c r="H195" t="str">
        <x:v>Completed</x:v>
      </x:c>
      <x:c r="I195" t="n">
        <x:v>2</x:v>
      </x:c>
      <x:c r="J195" s="12" t="n">
        <x:v>131.15</x:v>
      </x:c>
      <x:c r="K195" s="12" t="n">
        <x:v>68.94</x:v>
      </x:c>
      <x:c r="L195" s="14" t="n">
        <x:v>0</x:v>
      </x:c>
      <x:c r="M195" s="12" t="n">
        <x:f>IF(H195="Completed",I195*J195*(1-L195),0)</x:f>
        <x:v>262.3</x:v>
      </x:c>
      <x:c r="N195" s="12" t="n">
        <x:f>IF(H195="Completed",I195*K195,0)</x:f>
        <x:v>137.88</x:v>
      </x:c>
      <x:c r="O195" s="12" t="n">
        <x:f>M195-N195</x:f>
        <x:v>124.42000000000002</x:v>
      </x:c>
      <x:c r="P195" s="16" t="n">
        <x:f>IFERROR(O195/M195,0)</x:f>
        <x:v>0.47434235608082354</x:v>
      </x:c>
      <x:c r="Q195" t="n">
        <x:f>YEAR(B195)</x:f>
        <x:v>2024</x:v>
      </x:c>
      <x:c r="R195" t="str">
        <x:f>TEXT(B195,"yyyy-mm")</x:f>
        <x:v>2024-06</x:v>
      </x:c>
    </x:row>
    <x:row r="196">
      <x:c r="A196" t="n">
        <x:v>10372</x:v>
      </x:c>
      <x:c r="B196" s="10" t="n">
        <x:v>45471</x:v>
      </x:c>
      <x:c r="C196" t="str">
        <x:v>P007</x:v>
      </x:c>
      <x:c r="D196" t="str">
        <x:v>Headset</x:v>
      </x:c>
      <x:c r="E196" t="str">
        <x:v>Accessories</x:v>
      </x:c>
      <x:c r="F196" t="str">
        <x:v>South</x:v>
      </x:c>
      <x:c r="G196" t="str">
        <x:v>Online</x:v>
      </x:c>
      <x:c r="H196" t="str">
        <x:v>Completed</x:v>
      </x:c>
      <x:c r="I196" t="n">
        <x:v>3</x:v>
      </x:c>
      <x:c r="J196" s="12" t="n">
        <x:v>69.85</x:v>
      </x:c>
      <x:c r="K196" s="12" t="n">
        <x:v>35.53</x:v>
      </x:c>
      <x:c r="L196" s="14" t="n">
        <x:v>0.15</x:v>
      </x:c>
      <x:c r="M196" s="12" t="n">
        <x:f>IF(H196="Completed",I196*J196*(1-L196),0)</x:f>
        <x:v>178.11749999999998</x:v>
      </x:c>
      <x:c r="N196" s="12" t="n">
        <x:f>IF(H196="Completed",I196*K196,0)</x:f>
        <x:v>106.59</x:v>
      </x:c>
      <x:c r="O196" s="12" t="n">
        <x:f>M196-N196</x:f>
        <x:v>71.52749999999997</x:v>
      </x:c>
      <x:c r="P196" s="16" t="n">
        <x:f>IFERROR(O196/M196,0)</x:f>
        <x:v>0.4015748031496062</x:v>
      </x:c>
      <x:c r="Q196" t="n">
        <x:f>YEAR(B196)</x:f>
        <x:v>2024</x:v>
      </x:c>
      <x:c r="R196" t="str">
        <x:f>TEXT(B196,"yyyy-mm")</x:f>
        <x:v>2024-06</x:v>
      </x:c>
    </x:row>
    <x:row r="197">
      <x:c r="A197" t="n">
        <x:v>10453</x:v>
      </x:c>
      <x:c r="B197" s="10" t="n">
        <x:v>45474</x:v>
      </x:c>
      <x:c r="C197" t="str">
        <x:v>P006</x:v>
      </x:c>
      <x:c r="D197" t="str">
        <x:v>Chair</x:v>
      </x:c>
      <x:c r="E197" t="str">
        <x:v>Furniture</x:v>
      </x:c>
      <x:c r="F197" t="str">
        <x:v>Scotland</x:v>
      </x:c>
      <x:c r="G197" t="str">
        <x:v>Retail</x:v>
      </x:c>
      <x:c r="H197" t="str">
        <x:v>Cancelled</x:v>
      </x:c>
      <x:c r="I197" t="n">
        <x:v>1</x:v>
      </x:c>
      <x:c r="J197" s="12" t="n">
        <x:v>139.86</x:v>
      </x:c>
      <x:c r="K197" s="12" t="n">
        <x:v>69.05</x:v>
      </x:c>
      <x:c r="L197" s="14" t="n">
        <x:v>0.1</x:v>
      </x:c>
      <x:c r="M197" s="12" t="n">
        <x:f>IF(H197="Completed",I197*J197*(1-L197),0)</x:f>
        <x:v>0</x:v>
      </x:c>
      <x:c r="N197" s="12" t="n">
        <x:f>IF(H197="Completed",I197*K197,0)</x:f>
        <x:v>0</x:v>
      </x:c>
      <x:c r="O197" s="12" t="n">
        <x:f>M197-N197</x:f>
        <x:v>0</x:v>
      </x:c>
      <x:c r="P197" s="16" t="n">
        <x:f>IFERROR(O197/M197,0)</x:f>
        <x:v>0</x:v>
      </x:c>
      <x:c r="Q197" t="n">
        <x:f>YEAR(B197)</x:f>
        <x:v>2024</x:v>
      </x:c>
      <x:c r="R197" t="str">
        <x:f>TEXT(B197,"yyyy-mm")</x:f>
        <x:v>2024-07</x:v>
      </x:c>
    </x:row>
    <x:row r="198">
      <x:c r="A198" t="n">
        <x:v>10947</x:v>
      </x:c>
      <x:c r="B198" s="10" t="n">
        <x:v>45475</x:v>
      </x:c>
      <x:c r="C198" t="str">
        <x:v>P008</x:v>
      </x:c>
      <x:c r="D198" t="str">
        <x:v>Webcam</x:v>
      </x:c>
      <x:c r="E198" t="str">
        <x:v>Electronics</x:v>
      </x:c>
      <x:c r="F198" t="str">
        <x:v>Midlands</x:v>
      </x:c>
      <x:c r="G198" t="str">
        <x:v>Online</x:v>
      </x:c>
      <x:c r="H198" t="str">
        <x:v>Completed</x:v>
      </x:c>
      <x:c r="I198" t="n">
        <x:v>2</x:v>
      </x:c>
      <x:c r="J198" s="12" t="n">
        <x:v>91.58</x:v>
      </x:c>
      <x:c r="K198" s="12" t="n">
        <x:v>42.24</x:v>
      </x:c>
      <x:c r="L198" s="14" t="n">
        <x:v>0</x:v>
      </x:c>
      <x:c r="M198" s="12" t="n">
        <x:f>IF(H198="Completed",I198*J198*(1-L198),0)</x:f>
        <x:v>183.16</x:v>
      </x:c>
      <x:c r="N198" s="12" t="n">
        <x:f>IF(H198="Completed",I198*K198,0)</x:f>
        <x:v>84.48</x:v>
      </x:c>
      <x:c r="O198" s="12" t="n">
        <x:f>M198-N198</x:f>
        <x:v>98.67999999999999</x:v>
      </x:c>
      <x:c r="P198" s="16" t="n">
        <x:f>IFERROR(O198/M198,0)</x:f>
        <x:v>0.5387639222537671</x:v>
      </x:c>
      <x:c r="Q198" t="n">
        <x:f>YEAR(B198)</x:f>
        <x:v>2024</x:v>
      </x:c>
      <x:c r="R198" t="str">
        <x:f>TEXT(B198,"yyyy-mm")</x:f>
        <x:v>2024-07</x:v>
      </x:c>
    </x:row>
    <x:row r="199">
      <x:c r="A199" t="n">
        <x:v>10415</x:v>
      </x:c>
      <x:c r="B199" s="10" t="n">
        <x:v>45476</x:v>
      </x:c>
      <x:c r="C199" t="str">
        <x:v>P002</x:v>
      </x:c>
      <x:c r="D199" t="str">
        <x:v>Monitor</x:v>
      </x:c>
      <x:c r="E199" t="str">
        <x:v>Electronics</x:v>
      </x:c>
      <x:c r="F199" t="str">
        <x:v>Midlands</x:v>
      </x:c>
      <x:c r="G199" t="str">
        <x:v>Partner</x:v>
      </x:c>
      <x:c r="H199" t="str">
        <x:v>Completed</x:v>
      </x:c>
      <x:c r="I199" t="n">
        <x:v>4</x:v>
      </x:c>
      <x:c r="J199" s="12" t="n">
        <x:v>277.61</x:v>
      </x:c>
      <x:c r="K199" s="12" t="n">
        <x:v>170.44</x:v>
      </x:c>
      <x:c r="L199" s="14" t="n">
        <x:v>0.15</x:v>
      </x:c>
      <x:c r="M199" s="12" t="n">
        <x:f>IF(H199="Completed",I199*J199*(1-L199),0)</x:f>
        <x:v>943.874</x:v>
      </x:c>
      <x:c r="N199" s="12" t="n">
        <x:f>IF(H199="Completed",I199*K199,0)</x:f>
        <x:v>681.76</x:v>
      </x:c>
      <x:c r="O199" s="12" t="n">
        <x:f>M199-N199</x:f>
        <x:v>262.11400000000003</x:v>
      </x:c>
      <x:c r="P199" s="16" t="n">
        <x:f>IFERROR(O199/M199,0)</x:f>
        <x:v>0.27770020150994734</x:v>
      </x:c>
      <x:c r="Q199" t="n">
        <x:f>YEAR(B199)</x:f>
        <x:v>2024</x:v>
      </x:c>
      <x:c r="R199" t="str">
        <x:f>TEXT(B199,"yyyy-mm")</x:f>
        <x:v>2024-07</x:v>
      </x:c>
    </x:row>
    <x:row r="200">
      <x:c r="A200" t="n">
        <x:v>10065</x:v>
      </x:c>
      <x:c r="B200" s="10" t="n">
        <x:v>45478</x:v>
      </x:c>
      <x:c r="C200" t="str">
        <x:v>P001</x:v>
      </x:c>
      <x:c r="D200" t="str">
        <x:v>Laptop</x:v>
      </x:c>
      <x:c r="E200" t="str">
        <x:v>Electronics</x:v>
      </x:c>
      <x:c r="F200" t="str">
        <x:v>Midlands</x:v>
      </x:c>
      <x:c r="G200" t="str">
        <x:v>Online</x:v>
      </x:c>
      <x:c r="H200" t="str">
        <x:v>Completed</x:v>
      </x:c>
      <x:c r="I200" t="n">
        <x:v>3</x:v>
      </x:c>
      <x:c r="J200" s="12" t="n">
        <x:v>941.42</x:v>
      </x:c>
      <x:c r="K200" s="12" t="n">
        <x:v>619.35</x:v>
      </x:c>
      <x:c r="L200" s="14" t="n">
        <x:v>0</x:v>
      </x:c>
      <x:c r="M200" s="12" t="n">
        <x:f>IF(H200="Completed",I200*J200*(1-L200),0)</x:f>
        <x:v>2824.2599999999998</x:v>
      </x:c>
      <x:c r="N200" s="12" t="n">
        <x:f>IF(H200="Completed",I200*K200,0)</x:f>
        <x:v>1858.0500000000002</x:v>
      </x:c>
      <x:c r="O200" s="12" t="n">
        <x:f>M200-N200</x:f>
        <x:v>966.2099999999996</x:v>
      </x:c>
      <x:c r="P200" s="16" t="n">
        <x:f>IFERROR(O200/M200,0)</x:f>
        <x:v>0.34211085381657486</x:v>
      </x:c>
      <x:c r="Q200" t="n">
        <x:f>YEAR(B200)</x:f>
        <x:v>2024</x:v>
      </x:c>
      <x:c r="R200" t="str">
        <x:f>TEXT(B200,"yyyy-mm")</x:f>
        <x:v>2024-07</x:v>
      </x:c>
    </x:row>
    <x:row r="201">
      <x:c r="A201" t="n">
        <x:v>10827</x:v>
      </x:c>
      <x:c r="B201" s="10" t="n">
        <x:v>45479</x:v>
      </x:c>
      <x:c r="C201" t="str">
        <x:v>P001</x:v>
      </x:c>
      <x:c r="D201" t="str">
        <x:v>Laptop</x:v>
      </x:c>
      <x:c r="E201" t="str">
        <x:v>Electronics</x:v>
      </x:c>
      <x:c r="F201" t="str">
        <x:v>Midlands</x:v>
      </x:c>
      <x:c r="G201" t="str">
        <x:v>Retail</x:v>
      </x:c>
      <x:c r="H201" t="str">
        <x:v>Completed</x:v>
      </x:c>
      <x:c r="I201" t="n">
        <x:v>4</x:v>
      </x:c>
      <x:c r="J201" s="12" t="n">
        <x:v>956.49</x:v>
      </x:c>
      <x:c r="K201" s="12" t="n">
        <x:v>636.34</x:v>
      </x:c>
      <x:c r="L201" s="14" t="n">
        <x:v>0</x:v>
      </x:c>
      <x:c r="M201" s="12" t="n">
        <x:f>IF(H201="Completed",I201*J201*(1-L201),0)</x:f>
        <x:v>3825.96</x:v>
      </x:c>
      <x:c r="N201" s="12" t="n">
        <x:f>IF(H201="Completed",I201*K201,0)</x:f>
        <x:v>2545.36</x:v>
      </x:c>
      <x:c r="O201" s="12" t="n">
        <x:f>M201-N201</x:f>
        <x:v>1280.6</x:v>
      </x:c>
      <x:c r="P201" s="16" t="n">
        <x:f>IFERROR(O201/M201,0)</x:f>
        <x:v>0.3347133791257619</x:v>
      </x:c>
      <x:c r="Q201" t="n">
        <x:f>YEAR(B201)</x:f>
        <x:v>2024</x:v>
      </x:c>
      <x:c r="R201" t="str">
        <x:f>TEXT(B201,"yyyy-mm")</x:f>
        <x:v>2024-07</x:v>
      </x:c>
    </x:row>
    <x:row r="202">
      <x:c r="A202" t="n">
        <x:v>10264</x:v>
      </x:c>
      <x:c r="B202" s="10" t="n">
        <x:v>45480</x:v>
      </x:c>
      <x:c r="C202" t="str">
        <x:v>P001</x:v>
      </x:c>
      <x:c r="D202" t="str">
        <x:v>Laptop</x:v>
      </x:c>
      <x:c r="E202" t="str">
        <x:v>Electronics</x:v>
      </x:c>
      <x:c r="F202" t="str">
        <x:v>Scotland</x:v>
      </x:c>
      <x:c r="G202" t="str">
        <x:v>Online</x:v>
      </x:c>
      <x:c r="H202" t="str">
        <x:v>Completed</x:v>
      </x:c>
      <x:c r="I202" t="n">
        <x:v>1</x:v>
      </x:c>
      <x:c r="J202" s="12" t="n">
        <x:v>918.96</x:v>
      </x:c>
      <x:c r="K202" s="12" t="n">
        <x:v>633.72</x:v>
      </x:c>
      <x:c r="L202" s="14" t="n">
        <x:v>0</x:v>
      </x:c>
      <x:c r="M202" s="12" t="n">
        <x:f>IF(H202="Completed",I202*J202*(1-L202),0)</x:f>
        <x:v>918.96</x:v>
      </x:c>
      <x:c r="N202" s="12" t="n">
        <x:f>IF(H202="Completed",I202*K202,0)</x:f>
        <x:v>633.72</x:v>
      </x:c>
      <x:c r="O202" s="12" t="n">
        <x:f>M202-N202</x:f>
        <x:v>285.24</x:v>
      </x:c>
      <x:c r="P202" s="16" t="n">
        <x:f>IFERROR(O202/M202,0)</x:f>
        <x:v>0.3103943588404283</x:v>
      </x:c>
      <x:c r="Q202" t="n">
        <x:f>YEAR(B202)</x:f>
        <x:v>2024</x:v>
      </x:c>
      <x:c r="R202" t="str">
        <x:f>TEXT(B202,"yyyy-mm")</x:f>
        <x:v>2024-07</x:v>
      </x:c>
    </x:row>
    <x:row r="203">
      <x:c r="A203" t="n">
        <x:v>10463</x:v>
      </x:c>
      <x:c r="B203" s="10" t="n">
        <x:v>45480</x:v>
      </x:c>
      <x:c r="C203" t="str">
        <x:v>P002</x:v>
      </x:c>
      <x:c r="D203" t="str">
        <x:v>Monitor</x:v>
      </x:c>
      <x:c r="E203" t="str">
        <x:v>Electronics</x:v>
      </x:c>
      <x:c r="F203" t="str">
        <x:v>Midlands</x:v>
      </x:c>
      <x:c r="G203" t="str">
        <x:v>Online</x:v>
      </x:c>
      <x:c r="H203" t="str">
        <x:v>Completed</x:v>
      </x:c>
      <x:c r="I203" t="n">
        <x:v>2</x:v>
      </x:c>
      <x:c r="J203" s="12" t="n">
        <x:v>280.86</x:v>
      </x:c>
      <x:c r="K203" s="12" t="n">
        <x:v>168.41</x:v>
      </x:c>
      <x:c r="L203" s="14" t="n">
        <x:v>0</x:v>
      </x:c>
      <x:c r="M203" s="12" t="n">
        <x:f>IF(H203="Completed",I203*J203*(1-L203),0)</x:f>
        <x:v>561.72</x:v>
      </x:c>
      <x:c r="N203" s="12" t="n">
        <x:f>IF(H203="Completed",I203*K203,0)</x:f>
        <x:v>336.82</x:v>
      </x:c>
      <x:c r="O203" s="12" t="n">
        <x:f>M203-N203</x:f>
        <x:v>224.90000000000003</x:v>
      </x:c>
      <x:c r="P203" s="16" t="n">
        <x:f>IFERROR(O203/M203,0)</x:f>
        <x:v>0.4003774122338532</x:v>
      </x:c>
      <x:c r="Q203" t="n">
        <x:f>YEAR(B203)</x:f>
        <x:v>2024</x:v>
      </x:c>
      <x:c r="R203" t="str">
        <x:f>TEXT(B203,"yyyy-mm")</x:f>
        <x:v>2024-07</x:v>
      </x:c>
    </x:row>
    <x:row r="204">
      <x:c r="A204" t="n">
        <x:v>10080</x:v>
      </x:c>
      <x:c r="B204" s="10" t="n">
        <x:v>45481</x:v>
      </x:c>
      <x:c r="C204" t="str">
        <x:v>P004</x:v>
      </x:c>
      <x:c r="D204" t="str">
        <x:v>Mouse</x:v>
      </x:c>
      <x:c r="E204" t="str">
        <x:v>Accessories</x:v>
      </x:c>
      <x:c r="F204" t="str">
        <x:v>South</x:v>
      </x:c>
      <x:c r="G204" t="str">
        <x:v>Online</x:v>
      </x:c>
      <x:c r="H204" t="str">
        <x:v>Cancelled</x:v>
      </x:c>
      <x:c r="I204" t="n">
        <x:v>2</x:v>
      </x:c>
      <x:c r="J204" s="12" t="n">
        <x:v>27.32</x:v>
      </x:c>
      <x:c r="K204" s="12" t="n">
        <x:v>13.38</x:v>
      </x:c>
      <x:c r="L204" s="14" t="n">
        <x:v>0.1</x:v>
      </x:c>
      <x:c r="M204" s="12" t="n">
        <x:f>IF(H204="Completed",I204*J204*(1-L204),0)</x:f>
        <x:v>0</x:v>
      </x:c>
      <x:c r="N204" s="12" t="n">
        <x:f>IF(H204="Completed",I204*K204,0)</x:f>
        <x:v>0</x:v>
      </x:c>
      <x:c r="O204" s="12" t="n">
        <x:f>M204-N204</x:f>
        <x:v>0</x:v>
      </x:c>
      <x:c r="P204" s="16" t="n">
        <x:f>IFERROR(O204/M204,0)</x:f>
        <x:v>0</x:v>
      </x:c>
      <x:c r="Q204" t="n">
        <x:f>YEAR(B204)</x:f>
        <x:v>2024</x:v>
      </x:c>
      <x:c r="R204" t="str">
        <x:f>TEXT(B204,"yyyy-mm")</x:f>
        <x:v>2024-07</x:v>
      </x:c>
    </x:row>
    <x:row r="205">
      <x:c r="A205" t="n">
        <x:v>10233</x:v>
      </x:c>
      <x:c r="B205" s="10" t="n">
        <x:v>45482</x:v>
      </x:c>
      <x:c r="C205" t="str">
        <x:v>P001</x:v>
      </x:c>
      <x:c r="D205" t="str">
        <x:v>Laptop</x:v>
      </x:c>
      <x:c r="E205" t="str">
        <x:v>Electronics</x:v>
      </x:c>
      <x:c r="F205" t="str">
        <x:v>Scotland</x:v>
      </x:c>
      <x:c r="G205" t="str">
        <x:v>Retail</x:v>
      </x:c>
      <x:c r="H205" t="str">
        <x:v>Completed</x:v>
      </x:c>
      <x:c r="I205" t="n">
        <x:v>3</x:v>
      </x:c>
      <x:c r="J205" s="12" t="n">
        <x:v>931.75</x:v>
      </x:c>
      <x:c r="K205" s="12" t="n">
        <x:v>627.4</x:v>
      </x:c>
      <x:c r="L205" s="14" t="n">
        <x:v>0</x:v>
      </x:c>
      <x:c r="M205" s="12" t="n">
        <x:f>IF(H205="Completed",I205*J205*(1-L205),0)</x:f>
        <x:v>2795.25</x:v>
      </x:c>
      <x:c r="N205" s="12" t="n">
        <x:f>IF(H205="Completed",I205*K205,0)</x:f>
        <x:v>1882.1999999999998</x:v>
      </x:c>
      <x:c r="O205" s="12" t="n">
        <x:f>M205-N205</x:f>
        <x:v>913.0500000000002</x:v>
      </x:c>
      <x:c r="P205" s="16" t="n">
        <x:f>IFERROR(O205/M205,0)</x:f>
        <x:v>0.3266434129326537</x:v>
      </x:c>
      <x:c r="Q205" t="n">
        <x:f>YEAR(B205)</x:f>
        <x:v>2024</x:v>
      </x:c>
      <x:c r="R205" t="str">
        <x:f>TEXT(B205,"yyyy-mm")</x:f>
        <x:v>2024-07</x:v>
      </x:c>
    </x:row>
    <x:row r="206">
      <x:c r="A206" t="n">
        <x:v>10158</x:v>
      </x:c>
      <x:c r="B206" s="10" t="n">
        <x:v>45484</x:v>
      </x:c>
      <x:c r="C206" t="str">
        <x:v>P006</x:v>
      </x:c>
      <x:c r="D206" t="str">
        <x:v>Chair</x:v>
      </x:c>
      <x:c r="E206" t="str">
        <x:v>Furniture</x:v>
      </x:c>
      <x:c r="F206" t="str">
        <x:v>South</x:v>
      </x:c>
      <x:c r="G206" t="str">
        <x:v>Partner</x:v>
      </x:c>
      <x:c r="H206" t="str">
        <x:v>Completed</x:v>
      </x:c>
      <x:c r="I206" t="n">
        <x:v>4</x:v>
      </x:c>
      <x:c r="J206" s="12" t="n">
        <x:v>138.61</x:v>
      </x:c>
      <x:c r="K206" s="12" t="n">
        <x:v>69.49</x:v>
      </x:c>
      <x:c r="L206" s="14" t="n">
        <x:v>0</x:v>
      </x:c>
      <x:c r="M206" s="12" t="n">
        <x:f>IF(H206="Completed",I206*J206*(1-L206),0)</x:f>
        <x:v>554.44</x:v>
      </x:c>
      <x:c r="N206" s="12" t="n">
        <x:f>IF(H206="Completed",I206*K206,0)</x:f>
        <x:v>277.96</x:v>
      </x:c>
      <x:c r="O206" s="12" t="n">
        <x:f>M206-N206</x:f>
        <x:v>276.4800000000001</x:v>
      </x:c>
      <x:c r="P206" s="16" t="n">
        <x:f>IFERROR(O206/M206,0)</x:f>
        <x:v>0.49866531996248475</x:v>
      </x:c>
      <x:c r="Q206" t="n">
        <x:f>YEAR(B206)</x:f>
        <x:v>2024</x:v>
      </x:c>
      <x:c r="R206" t="str">
        <x:f>TEXT(B206,"yyyy-mm")</x:f>
        <x:v>2024-07</x:v>
      </x:c>
    </x:row>
    <x:row r="207">
      <x:c r="A207" t="n">
        <x:v>10127</x:v>
      </x:c>
      <x:c r="B207" s="10" t="n">
        <x:v>45486</x:v>
      </x:c>
      <x:c r="C207" t="str">
        <x:v>P002</x:v>
      </x:c>
      <x:c r="D207" t="str">
        <x:v>Monitor</x:v>
      </x:c>
      <x:c r="E207" t="str">
        <x:v>Electronics</x:v>
      </x:c>
      <x:c r="F207" t="str">
        <x:v>North</x:v>
      </x:c>
      <x:c r="G207" t="str">
        <x:v>Online</x:v>
      </x:c>
      <x:c r="H207" t="str">
        <x:v>Cancelled</x:v>
      </x:c>
      <x:c r="I207" t="n">
        <x:v>4</x:v>
      </x:c>
      <x:c r="J207" s="12" t="n">
        <x:v>277.46</x:v>
      </x:c>
      <x:c r="K207" s="12" t="n">
        <x:v>169.43</x:v>
      </x:c>
      <x:c r="L207" s="14" t="n">
        <x:v>0</x:v>
      </x:c>
      <x:c r="M207" s="12" t="n">
        <x:f>IF(H207="Completed",I207*J207*(1-L207),0)</x:f>
        <x:v>0</x:v>
      </x:c>
      <x:c r="N207" s="12" t="n">
        <x:f>IF(H207="Completed",I207*K207,0)</x:f>
        <x:v>0</x:v>
      </x:c>
      <x:c r="O207" s="12" t="n">
        <x:f>M207-N207</x:f>
        <x:v>0</x:v>
      </x:c>
      <x:c r="P207" s="16" t="n">
        <x:f>IFERROR(O207/M207,0)</x:f>
        <x:v>0</x:v>
      </x:c>
      <x:c r="Q207" t="n">
        <x:f>YEAR(B207)</x:f>
        <x:v>2024</x:v>
      </x:c>
      <x:c r="R207" t="str">
        <x:f>TEXT(B207,"yyyy-mm")</x:f>
        <x:v>2024-07</x:v>
      </x:c>
    </x:row>
    <x:row r="208">
      <x:c r="A208" t="n">
        <x:v>10208</x:v>
      </x:c>
      <x:c r="B208" s="10" t="n">
        <x:v>45486</x:v>
      </x:c>
      <x:c r="C208" t="str">
        <x:v>P003</x:v>
      </x:c>
      <x:c r="D208" t="str">
        <x:v>Keyboard</x:v>
      </x:c>
      <x:c r="E208" t="str">
        <x:v>Accessories</x:v>
      </x:c>
      <x:c r="F208" t="str">
        <x:v>Wales</x:v>
      </x:c>
      <x:c r="G208" t="str">
        <x:v>Online</x:v>
      </x:c>
      <x:c r="H208" t="str">
        <x:v>Completed</x:v>
      </x:c>
      <x:c r="I208" t="n">
        <x:v>4</x:v>
      </x:c>
      <x:c r="J208" s="12" t="n">
        <x:v>47.61</x:v>
      </x:c>
      <x:c r="K208" s="12" t="n">
        <x:v>26.71</x:v>
      </x:c>
      <x:c r="L208" s="14" t="n">
        <x:v>0.05</x:v>
      </x:c>
      <x:c r="M208" s="12" t="n">
        <x:f>IF(H208="Completed",I208*J208*(1-L208),0)</x:f>
        <x:v>180.91799999999998</x:v>
      </x:c>
      <x:c r="N208" s="12" t="n">
        <x:f>IF(H208="Completed",I208*K208,0)</x:f>
        <x:v>106.84</x:v>
      </x:c>
      <x:c r="O208" s="12" t="n">
        <x:f>M208-N208</x:f>
        <x:v>74.07799999999997</x:v>
      </x:c>
      <x:c r="P208" s="16" t="n">
        <x:f>IFERROR(O208/M208,0)</x:f>
        <x:v>0.4094562177340009</x:v>
      </x:c>
      <x:c r="Q208" t="n">
        <x:f>YEAR(B208)</x:f>
        <x:v>2024</x:v>
      </x:c>
      <x:c r="R208" t="str">
        <x:f>TEXT(B208,"yyyy-mm")</x:f>
        <x:v>2024-07</x:v>
      </x:c>
    </x:row>
    <x:row r="209">
      <x:c r="A209" t="n">
        <x:v>10573</x:v>
      </x:c>
      <x:c r="B209" s="10" t="n">
        <x:v>45486</x:v>
      </x:c>
      <x:c r="C209" t="str">
        <x:v>P004</x:v>
      </x:c>
      <x:c r="D209" t="str">
        <x:v>Mouse</x:v>
      </x:c>
      <x:c r="E209" t="str">
        <x:v>Accessories</x:v>
      </x:c>
      <x:c r="F209" t="str">
        <x:v>South</x:v>
      </x:c>
      <x:c r="G209" t="str">
        <x:v>Partner</x:v>
      </x:c>
      <x:c r="H209" t="str">
        <x:v>Cancelled</x:v>
      </x:c>
      <x:c r="I209" t="n">
        <x:v>2</x:v>
      </x:c>
      <x:c r="J209" s="12" t="n">
        <x:v>27.24</x:v>
      </x:c>
      <x:c r="K209" s="12" t="n">
        <x:v>13.22</x:v>
      </x:c>
      <x:c r="L209" s="14" t="n">
        <x:v>0.15</x:v>
      </x:c>
      <x:c r="M209" s="12" t="n">
        <x:f>IF(H209="Completed",I209*J209*(1-L209),0)</x:f>
        <x:v>0</x:v>
      </x:c>
      <x:c r="N209" s="12" t="n">
        <x:f>IF(H209="Completed",I209*K209,0)</x:f>
        <x:v>0</x:v>
      </x:c>
      <x:c r="O209" s="12" t="n">
        <x:f>M209-N209</x:f>
        <x:v>0</x:v>
      </x:c>
      <x:c r="P209" s="16" t="n">
        <x:f>IFERROR(O209/M209,0)</x:f>
        <x:v>0</x:v>
      </x:c>
      <x:c r="Q209" t="n">
        <x:f>YEAR(B209)</x:f>
        <x:v>2024</x:v>
      </x:c>
      <x:c r="R209" t="str">
        <x:f>TEXT(B209,"yyyy-mm")</x:f>
        <x:v>2024-07</x:v>
      </x:c>
    </x:row>
    <x:row r="210">
      <x:c r="A210" t="n">
        <x:v>10447</x:v>
      </x:c>
      <x:c r="B210" s="10" t="n">
        <x:v>45487</x:v>
      </x:c>
      <x:c r="C210" t="str">
        <x:v>P006</x:v>
      </x:c>
      <x:c r="D210" t="str">
        <x:v>Chair</x:v>
      </x:c>
      <x:c r="E210" t="str">
        <x:v>Furniture</x:v>
      </x:c>
      <x:c r="F210" t="str">
        <x:v>Scotland</x:v>
      </x:c>
      <x:c r="G210" t="str">
        <x:v>Online</x:v>
      </x:c>
      <x:c r="H210" t="str">
        <x:v>Cancelled</x:v>
      </x:c>
      <x:c r="I210" t="n">
        <x:v>1</x:v>
      </x:c>
      <x:c r="J210" s="12" t="n">
        <x:v>138.25</x:v>
      </x:c>
      <x:c r="K210" s="12" t="n">
        <x:v>68.17</x:v>
      </x:c>
      <x:c r="L210" s="14" t="n">
        <x:v>0</x:v>
      </x:c>
      <x:c r="M210" s="12" t="n">
        <x:f>IF(H210="Completed",I210*J210*(1-L210),0)</x:f>
        <x:v>0</x:v>
      </x:c>
      <x:c r="N210" s="12" t="n">
        <x:f>IF(H210="Completed",I210*K210,0)</x:f>
        <x:v>0</x:v>
      </x:c>
      <x:c r="O210" s="12" t="n">
        <x:f>M210-N210</x:f>
        <x:v>0</x:v>
      </x:c>
      <x:c r="P210" s="16" t="n">
        <x:f>IFERROR(O210/M210,0)</x:f>
        <x:v>0</x:v>
      </x:c>
      <x:c r="Q210" t="n">
        <x:f>YEAR(B210)</x:f>
        <x:v>2024</x:v>
      </x:c>
      <x:c r="R210" t="str">
        <x:f>TEXT(B210,"yyyy-mm")</x:f>
        <x:v>2024-07</x:v>
      </x:c>
    </x:row>
    <x:row r="211">
      <x:c r="A211" t="n">
        <x:v>10681</x:v>
      </x:c>
      <x:c r="B211" s="10" t="n">
        <x:v>45489</x:v>
      </x:c>
      <x:c r="C211" t="str">
        <x:v>P001</x:v>
      </x:c>
      <x:c r="D211" t="str">
        <x:v>Laptop</x:v>
      </x:c>
      <x:c r="E211" t="str">
        <x:v>Electronics</x:v>
      </x:c>
      <x:c r="F211" t="str">
        <x:v>South</x:v>
      </x:c>
      <x:c r="G211" t="str">
        <x:v>Online</x:v>
      </x:c>
      <x:c r="H211" t="str">
        <x:v>Cancelled</x:v>
      </x:c>
      <x:c r="I211" t="n">
        <x:v>1</x:v>
      </x:c>
      <x:c r="J211" s="12" t="n">
        <x:v>949.97</x:v>
      </x:c>
      <x:c r="K211" s="12" t="n">
        <x:v>614.32</x:v>
      </x:c>
      <x:c r="L211" s="14" t="n">
        <x:v>0.15</x:v>
      </x:c>
      <x:c r="M211" s="12" t="n">
        <x:f>IF(H211="Completed",I211*J211*(1-L211),0)</x:f>
        <x:v>0</x:v>
      </x:c>
      <x:c r="N211" s="12" t="n">
        <x:f>IF(H211="Completed",I211*K211,0)</x:f>
        <x:v>0</x:v>
      </x:c>
      <x:c r="O211" s="12" t="n">
        <x:f>M211-N211</x:f>
        <x:v>0</x:v>
      </x:c>
      <x:c r="P211" s="16" t="n">
        <x:f>IFERROR(O211/M211,0)</x:f>
        <x:v>0</x:v>
      </x:c>
      <x:c r="Q211" t="n">
        <x:f>YEAR(B211)</x:f>
        <x:v>2024</x:v>
      </x:c>
      <x:c r="R211" t="str">
        <x:f>TEXT(B211,"yyyy-mm")</x:f>
        <x:v>2024-07</x:v>
      </x:c>
    </x:row>
    <x:row r="212">
      <x:c r="A212" t="n">
        <x:v>10153</x:v>
      </x:c>
      <x:c r="B212" s="10" t="n">
        <x:v>45490</x:v>
      </x:c>
      <x:c r="C212" t="str">
        <x:v>P006</x:v>
      </x:c>
      <x:c r="D212" t="str">
        <x:v>Chair</x:v>
      </x:c>
      <x:c r="E212" t="str">
        <x:v>Furniture</x:v>
      </x:c>
      <x:c r="F212" t="str">
        <x:v>South</x:v>
      </x:c>
      <x:c r="G212" t="str">
        <x:v>Retail</x:v>
      </x:c>
      <x:c r="H212" t="str">
        <x:v>Completed</x:v>
      </x:c>
      <x:c r="I212" t="n">
        <x:v>3</x:v>
      </x:c>
      <x:c r="J212" s="12" t="n">
        <x:v>131.92</x:v>
      </x:c>
      <x:c r="K212" s="12" t="n">
        <x:v>67.51</x:v>
      </x:c>
      <x:c r="L212" s="14" t="n">
        <x:v>0</x:v>
      </x:c>
      <x:c r="M212" s="12" t="n">
        <x:f>IF(H212="Completed",I212*J212*(1-L212),0)</x:f>
        <x:v>395.76</x:v>
      </x:c>
      <x:c r="N212" s="12" t="n">
        <x:f>IF(H212="Completed",I212*K212,0)</x:f>
        <x:v>202.53000000000003</x:v>
      </x:c>
      <x:c r="O212" s="12" t="n">
        <x:f>M212-N212</x:f>
        <x:v>193.22999999999996</x:v>
      </x:c>
      <x:c r="P212" s="16" t="n">
        <x:f>IFERROR(O212/M212,0)</x:f>
        <x:v>0.48825045482110363</x:v>
      </x:c>
      <x:c r="Q212" t="n">
        <x:f>YEAR(B212)</x:f>
        <x:v>2024</x:v>
      </x:c>
      <x:c r="R212" t="str">
        <x:f>TEXT(B212,"yyyy-mm")</x:f>
        <x:v>2024-07</x:v>
      </x:c>
    </x:row>
    <x:row r="213">
      <x:c r="A213" t="n">
        <x:v>10713</x:v>
      </x:c>
      <x:c r="B213" s="10" t="n">
        <x:v>45490</x:v>
      </x:c>
      <x:c r="C213" t="str">
        <x:v>P006</x:v>
      </x:c>
      <x:c r="D213" t="str">
        <x:v>Chair</x:v>
      </x:c>
      <x:c r="E213" t="str">
        <x:v>Furniture</x:v>
      </x:c>
      <x:c r="F213" t="str">
        <x:v>North</x:v>
      </x:c>
      <x:c r="G213" t="str">
        <x:v>Online</x:v>
      </x:c>
      <x:c r="H213" t="str">
        <x:v>Cancelled</x:v>
      </x:c>
      <x:c r="I213" t="n">
        <x:v>3</x:v>
      </x:c>
      <x:c r="J213" s="12" t="n">
        <x:v>133.6</x:v>
      </x:c>
      <x:c r="K213" s="12" t="n">
        <x:v>67.02</x:v>
      </x:c>
      <x:c r="L213" s="14" t="n">
        <x:v>0</x:v>
      </x:c>
      <x:c r="M213" s="12" t="n">
        <x:f>IF(H213="Completed",I213*J213*(1-L213),0)</x:f>
        <x:v>0</x:v>
      </x:c>
      <x:c r="N213" s="12" t="n">
        <x:f>IF(H213="Completed",I213*K213,0)</x:f>
        <x:v>0</x:v>
      </x:c>
      <x:c r="O213" s="12" t="n">
        <x:f>M213-N213</x:f>
        <x:v>0</x:v>
      </x:c>
      <x:c r="P213" s="16" t="n">
        <x:f>IFERROR(O213/M213,0)</x:f>
        <x:v>0</x:v>
      </x:c>
      <x:c r="Q213" t="n">
        <x:f>YEAR(B213)</x:f>
        <x:v>2024</x:v>
      </x:c>
      <x:c r="R213" t="str">
        <x:f>TEXT(B213,"yyyy-mm")</x:f>
        <x:v>2024-07</x:v>
      </x:c>
    </x:row>
    <x:row r="214">
      <x:c r="A214" t="n">
        <x:v>10262</x:v>
      </x:c>
      <x:c r="B214" s="10" t="n">
        <x:v>45492</x:v>
      </x:c>
      <x:c r="C214" t="str">
        <x:v>P006</x:v>
      </x:c>
      <x:c r="D214" t="str">
        <x:v>Chair</x:v>
      </x:c>
      <x:c r="E214" t="str">
        <x:v>Furniture</x:v>
      </x:c>
      <x:c r="F214" t="str">
        <x:v>Midlands</x:v>
      </x:c>
      <x:c r="G214" t="str">
        <x:v>Retail</x:v>
      </x:c>
      <x:c r="H214" t="str">
        <x:v>Completed</x:v>
      </x:c>
      <x:c r="I214" t="n">
        <x:v>2</x:v>
      </x:c>
      <x:c r="J214" s="12" t="n">
        <x:v>137.14</x:v>
      </x:c>
      <x:c r="K214" s="12" t="n">
        <x:v>68.97</x:v>
      </x:c>
      <x:c r="L214" s="14" t="n">
        <x:v>0.1</x:v>
      </x:c>
      <x:c r="M214" s="12" t="n">
        <x:f>IF(H214="Completed",I214*J214*(1-L214),0)</x:f>
        <x:v>246.85199999999998</x:v>
      </x:c>
      <x:c r="N214" s="12" t="n">
        <x:f>IF(H214="Completed",I214*K214,0)</x:f>
        <x:v>137.94</x:v>
      </x:c>
      <x:c r="O214" s="12" t="n">
        <x:f>M214-N214</x:f>
        <x:v>108.91199999999998</x:v>
      </x:c>
      <x:c r="P214" s="16" t="n">
        <x:f>IFERROR(O214/M214,0)</x:f>
        <x:v>0.441203636186865</x:v>
      </x:c>
      <x:c r="Q214" t="n">
        <x:f>YEAR(B214)</x:f>
        <x:v>2024</x:v>
      </x:c>
      <x:c r="R214" t="str">
        <x:f>TEXT(B214,"yyyy-mm")</x:f>
        <x:v>2024-07</x:v>
      </x:c>
    </x:row>
    <x:row r="215">
      <x:c r="A215" t="n">
        <x:v>10949</x:v>
      </x:c>
      <x:c r="B215" s="10" t="n">
        <x:v>45493</x:v>
      </x:c>
      <x:c r="C215" t="str">
        <x:v>P006</x:v>
      </x:c>
      <x:c r="D215" t="str">
        <x:v>Chair</x:v>
      </x:c>
      <x:c r="E215" t="str">
        <x:v>Furniture</x:v>
      </x:c>
      <x:c r="F215" t="str">
        <x:v>Midlands</x:v>
      </x:c>
      <x:c r="G215" t="str">
        <x:v>Retail</x:v>
      </x:c>
      <x:c r="H215" t="str">
        <x:v>Completed</x:v>
      </x:c>
      <x:c r="I215" t="n">
        <x:v>3</x:v>
      </x:c>
      <x:c r="J215" s="12" t="n">
        <x:v>137.62</x:v>
      </x:c>
      <x:c r="K215" s="12" t="n">
        <x:v>70.03</x:v>
      </x:c>
      <x:c r="L215" s="14" t="n">
        <x:v>0</x:v>
      </x:c>
      <x:c r="M215" s="12" t="n">
        <x:f>IF(H215="Completed",I215*J215*(1-L215),0)</x:f>
        <x:v>412.86</x:v>
      </x:c>
      <x:c r="N215" s="12" t="n">
        <x:f>IF(H215="Completed",I215*K215,0)</x:f>
        <x:v>210.09</x:v>
      </x:c>
      <x:c r="O215" s="12" t="n">
        <x:f>M215-N215</x:f>
        <x:v>202.77</x:v>
      </x:c>
      <x:c r="P215" s="16" t="n">
        <x:f>IFERROR(O215/M215,0)</x:f>
        <x:v>0.4911350094463014</x:v>
      </x:c>
      <x:c r="Q215" t="n">
        <x:f>YEAR(B215)</x:f>
        <x:v>2024</x:v>
      </x:c>
      <x:c r="R215" t="str">
        <x:f>TEXT(B215,"yyyy-mm")</x:f>
        <x:v>2024-07</x:v>
      </x:c>
    </x:row>
    <x:row r="216">
      <x:c r="A216" t="n">
        <x:v>10089</x:v>
      </x:c>
      <x:c r="B216" s="10" t="n">
        <x:v>45494</x:v>
      </x:c>
      <x:c r="C216" t="str">
        <x:v>P007</x:v>
      </x:c>
      <x:c r="D216" t="str">
        <x:v>Headset</x:v>
      </x:c>
      <x:c r="E216" t="str">
        <x:v>Accessories</x:v>
      </x:c>
      <x:c r="F216" t="str">
        <x:v>South</x:v>
      </x:c>
      <x:c r="G216" t="str">
        <x:v>Retail</x:v>
      </x:c>
      <x:c r="H216" t="str">
        <x:v>Completed</x:v>
      </x:c>
      <x:c r="I216" t="n">
        <x:v>1</x:v>
      </x:c>
      <x:c r="J216" s="12" t="n">
        <x:v>70.2</x:v>
      </x:c>
      <x:c r="K216" s="12" t="n">
        <x:v>34.59</x:v>
      </x:c>
      <x:c r="L216" s="14" t="n">
        <x:v>0</x:v>
      </x:c>
      <x:c r="M216" s="12" t="n">
        <x:f>IF(H216="Completed",I216*J216*(1-L216),0)</x:f>
        <x:v>70.2</x:v>
      </x:c>
      <x:c r="N216" s="12" t="n">
        <x:f>IF(H216="Completed",I216*K216,0)</x:f>
        <x:v>34.59</x:v>
      </x:c>
      <x:c r="O216" s="12" t="n">
        <x:f>M216-N216</x:f>
        <x:v>35.61</x:v>
      </x:c>
      <x:c r="P216" s="16" t="n">
        <x:f>IFERROR(O216/M216,0)</x:f>
        <x:v>0.5072649572649572</x:v>
      </x:c>
      <x:c r="Q216" t="n">
        <x:f>YEAR(B216)</x:f>
        <x:v>2024</x:v>
      </x:c>
      <x:c r="R216" t="str">
        <x:f>TEXT(B216,"yyyy-mm")</x:f>
        <x:v>2024-07</x:v>
      </x:c>
    </x:row>
    <x:row r="217">
      <x:c r="A217" t="n">
        <x:v>10193</x:v>
      </x:c>
      <x:c r="B217" s="10" t="n">
        <x:v>45496</x:v>
      </x:c>
      <x:c r="C217" t="str">
        <x:v>P002</x:v>
      </x:c>
      <x:c r="D217" t="str">
        <x:v>Monitor</x:v>
      </x:c>
      <x:c r="E217" t="str">
        <x:v>Electronics</x:v>
      </x:c>
      <x:c r="F217" t="str">
        <x:v>Scotland</x:v>
      </x:c>
      <x:c r="G217" t="str">
        <x:v>Online</x:v>
      </x:c>
      <x:c r="H217" t="str">
        <x:v>Completed</x:v>
      </x:c>
      <x:c r="I217" t="n">
        <x:v>2</x:v>
      </x:c>
      <x:c r="J217" s="12" t="n">
        <x:v>292.62</x:v>
      </x:c>
      <x:c r="K217" s="12" t="n">
        <x:v>174.82</x:v>
      </x:c>
      <x:c r="L217" s="14" t="n">
        <x:v>0</x:v>
      </x:c>
      <x:c r="M217" s="12" t="n">
        <x:f>IF(H217="Completed",I217*J217*(1-L217),0)</x:f>
        <x:v>585.24</x:v>
      </x:c>
      <x:c r="N217" s="12" t="n">
        <x:f>IF(H217="Completed",I217*K217,0)</x:f>
        <x:v>349.64</x:v>
      </x:c>
      <x:c r="O217" s="12" t="n">
        <x:f>M217-N217</x:f>
        <x:v>235.60000000000002</x:v>
      </x:c>
      <x:c r="P217" s="16" t="n">
        <x:f>IFERROR(O217/M217,0)</x:f>
        <x:v>0.402569885858793</x:v>
      </x:c>
      <x:c r="Q217" t="n">
        <x:f>YEAR(B217)</x:f>
        <x:v>2024</x:v>
      </x:c>
      <x:c r="R217" t="str">
        <x:f>TEXT(B217,"yyyy-mm")</x:f>
        <x:v>2024-07</x:v>
      </x:c>
    </x:row>
    <x:row r="218">
      <x:c r="A218" t="n">
        <x:v>10455</x:v>
      </x:c>
      <x:c r="B218" s="10" t="n">
        <x:v>45496</x:v>
      </x:c>
      <x:c r="C218" t="str">
        <x:v>P005</x:v>
      </x:c>
      <x:c r="D218" t="str">
        <x:v>Desk</x:v>
      </x:c>
      <x:c r="E218" t="str">
        <x:v>Furniture</x:v>
      </x:c>
      <x:c r="F218" t="str">
        <x:v>Wales</x:v>
      </x:c>
      <x:c r="G218" t="str">
        <x:v>Retail</x:v>
      </x:c>
      <x:c r="H218" t="str">
        <x:v>Completed</x:v>
      </x:c>
      <x:c r="I218" t="n">
        <x:v>2</x:v>
      </x:c>
      <x:c r="J218" s="12" t="n">
        <x:v>280.04</x:v>
      </x:c>
      <x:c r="K218" s="12" t="n">
        <x:v>154.19</x:v>
      </x:c>
      <x:c r="L218" s="14" t="n">
        <x:v>0</x:v>
      </x:c>
      <x:c r="M218" s="12" t="n">
        <x:f>IF(H218="Completed",I218*J218*(1-L218),0)</x:f>
        <x:v>560.08</x:v>
      </x:c>
      <x:c r="N218" s="12" t="n">
        <x:f>IF(H218="Completed",I218*K218,0)</x:f>
        <x:v>308.38</x:v>
      </x:c>
      <x:c r="O218" s="12" t="n">
        <x:f>M218-N218</x:f>
        <x:v>251.70000000000005</x:v>
      </x:c>
      <x:c r="P218" s="16" t="n">
        <x:f>IFERROR(O218/M218,0)</x:f>
        <x:v>0.4494000857020426</x:v>
      </x:c>
      <x:c r="Q218" t="n">
        <x:f>YEAR(B218)</x:f>
        <x:v>2024</x:v>
      </x:c>
      <x:c r="R218" t="str">
        <x:f>TEXT(B218,"yyyy-mm")</x:f>
        <x:v>2024-07</x:v>
      </x:c>
    </x:row>
    <x:row r="219">
      <x:c r="A219" t="n">
        <x:v>10866</x:v>
      </x:c>
      <x:c r="B219" s="10" t="n">
        <x:v>45498</x:v>
      </x:c>
      <x:c r="C219" t="str">
        <x:v>P008</x:v>
      </x:c>
      <x:c r="D219" t="str">
        <x:v>Webcam</x:v>
      </x:c>
      <x:c r="E219" t="str">
        <x:v>Electronics</x:v>
      </x:c>
      <x:c r="F219" t="str">
        <x:v>Scotland</x:v>
      </x:c>
      <x:c r="G219" t="str">
        <x:v>Online</x:v>
      </x:c>
      <x:c r="H219" t="str">
        <x:v>Completed</x:v>
      </x:c>
      <x:c r="I219" t="n">
        <x:v>4</x:v>
      </x:c>
      <x:c r="J219" s="12" t="n">
        <x:v>88.12</x:v>
      </x:c>
      <x:c r="K219" s="12" t="n">
        <x:v>41.52</x:v>
      </x:c>
      <x:c r="L219" s="14" t="n">
        <x:v>0</x:v>
      </x:c>
      <x:c r="M219" s="12" t="n">
        <x:f>IF(H219="Completed",I219*J219*(1-L219),0)</x:f>
        <x:v>352.48</x:v>
      </x:c>
      <x:c r="N219" s="12" t="n">
        <x:f>IF(H219="Completed",I219*K219,0)</x:f>
        <x:v>166.08</x:v>
      </x:c>
      <x:c r="O219" s="12" t="n">
        <x:f>M219-N219</x:f>
        <x:v>186.4</x:v>
      </x:c>
      <x:c r="P219" s="16" t="n">
        <x:f>IFERROR(O219/M219,0)</x:f>
        <x:v>0.5288243304584657</x:v>
      </x:c>
      <x:c r="Q219" t="n">
        <x:f>YEAR(B219)</x:f>
        <x:v>2024</x:v>
      </x:c>
      <x:c r="R219" t="str">
        <x:f>TEXT(B219,"yyyy-mm")</x:f>
        <x:v>2024-07</x:v>
      </x:c>
    </x:row>
    <x:row r="220">
      <x:c r="A220" t="n">
        <x:v>10320</x:v>
      </x:c>
      <x:c r="B220" s="10" t="n">
        <x:v>45499</x:v>
      </x:c>
      <x:c r="C220" t="str">
        <x:v>P003</x:v>
      </x:c>
      <x:c r="D220" t="str">
        <x:v>Keyboard</x:v>
      </x:c>
      <x:c r="E220" t="str">
        <x:v>Accessories</x:v>
      </x:c>
      <x:c r="F220" t="str">
        <x:v>North</x:v>
      </x:c>
      <x:c r="G220" t="str">
        <x:v>Partner</x:v>
      </x:c>
      <x:c r="H220" t="str">
        <x:v>Completed</x:v>
      </x:c>
      <x:c r="I220" t="n">
        <x:v>3</x:v>
      </x:c>
      <x:c r="J220" s="12" t="n">
        <x:v>49.78</x:v>
      </x:c>
      <x:c r="K220" s="12" t="n">
        <x:v>25.81</x:v>
      </x:c>
      <x:c r="L220" s="14" t="n">
        <x:v>0</x:v>
      </x:c>
      <x:c r="M220" s="12" t="n">
        <x:f>IF(H220="Completed",I220*J220*(1-L220),0)</x:f>
        <x:v>149.34</x:v>
      </x:c>
      <x:c r="N220" s="12" t="n">
        <x:f>IF(H220="Completed",I220*K220,0)</x:f>
        <x:v>77.42999999999999</x:v>
      </x:c>
      <x:c r="O220" s="12" t="n">
        <x:f>M220-N220</x:f>
        <x:v>71.91000000000001</x:v>
      </x:c>
      <x:c r="P220" s="16" t="n">
        <x:f>IFERROR(O220/M220,0)</x:f>
        <x:v>0.4815186822016875</x:v>
      </x:c>
      <x:c r="Q220" t="n">
        <x:f>YEAR(B220)</x:f>
        <x:v>2024</x:v>
      </x:c>
      <x:c r="R220" t="str">
        <x:f>TEXT(B220,"yyyy-mm")</x:f>
        <x:v>2024-07</x:v>
      </x:c>
    </x:row>
    <x:row r="221">
      <x:c r="A221" t="n">
        <x:v>10458</x:v>
      </x:c>
      <x:c r="B221" s="10" t="n">
        <x:v>45499</x:v>
      </x:c>
      <x:c r="C221" t="str">
        <x:v>P008</x:v>
      </x:c>
      <x:c r="D221" t="str">
        <x:v>Webcam</x:v>
      </x:c>
      <x:c r="E221" t="str">
        <x:v>Electronics</x:v>
      </x:c>
      <x:c r="F221" t="str">
        <x:v>Wales</x:v>
      </x:c>
      <x:c r="G221" t="str">
        <x:v>Retail</x:v>
      </x:c>
      <x:c r="H221" t="str">
        <x:v>Completed</x:v>
      </x:c>
      <x:c r="I221" t="n">
        <x:v>2</x:v>
      </x:c>
      <x:c r="J221" s="12" t="n">
        <x:v>89.74</x:v>
      </x:c>
      <x:c r="K221" s="12" t="n">
        <x:v>42.43</x:v>
      </x:c>
      <x:c r="L221" s="14" t="n">
        <x:v>0.1</x:v>
      </x:c>
      <x:c r="M221" s="12" t="n">
        <x:f>IF(H221="Completed",I221*J221*(1-L221),0)</x:f>
        <x:v>161.53199999999998</x:v>
      </x:c>
      <x:c r="N221" s="12" t="n">
        <x:f>IF(H221="Completed",I221*K221,0)</x:f>
        <x:v>84.86</x:v>
      </x:c>
      <x:c r="O221" s="12" t="n">
        <x:f>M221-N221</x:f>
        <x:v>76.67199999999998</x:v>
      </x:c>
      <x:c r="P221" s="16" t="n">
        <x:f>IFERROR(O221/M221,0)</x:f>
        <x:v>0.47465517668325774</x:v>
      </x:c>
      <x:c r="Q221" t="n">
        <x:f>YEAR(B221)</x:f>
        <x:v>2024</x:v>
      </x:c>
      <x:c r="R221" t="str">
        <x:f>TEXT(B221,"yyyy-mm")</x:f>
        <x:v>2024-07</x:v>
      </x:c>
    </x:row>
    <x:row r="222">
      <x:c r="A222" t="n">
        <x:v>10944</x:v>
      </x:c>
      <x:c r="B222" s="10" t="n">
        <x:v>45499</x:v>
      </x:c>
      <x:c r="C222" t="str">
        <x:v>P008</x:v>
      </x:c>
      <x:c r="D222" t="str">
        <x:v>Webcam</x:v>
      </x:c>
      <x:c r="E222" t="str">
        <x:v>Electronics</x:v>
      </x:c>
      <x:c r="F222" t="str">
        <x:v>Midlands</x:v>
      </x:c>
      <x:c r="G222" t="str">
        <x:v>Online</x:v>
      </x:c>
      <x:c r="H222" t="str">
        <x:v>Completed</x:v>
      </x:c>
      <x:c r="I222" t="n">
        <x:v>2</x:v>
      </x:c>
      <x:c r="J222" s="12" t="n">
        <x:v>87.31</x:v>
      </x:c>
      <x:c r="K222" s="12" t="n">
        <x:v>42.93</x:v>
      </x:c>
      <x:c r="L222" s="14" t="n">
        <x:v>0.1</x:v>
      </x:c>
      <x:c r="M222" s="12" t="n">
        <x:f>IF(H222="Completed",I222*J222*(1-L222),0)</x:f>
        <x:v>157.15800000000002</x:v>
      </x:c>
      <x:c r="N222" s="12" t="n">
        <x:f>IF(H222="Completed",I222*K222,0)</x:f>
        <x:v>85.86</x:v>
      </x:c>
      <x:c r="O222" s="12" t="n">
        <x:f>M222-N222</x:f>
        <x:v>71.29800000000002</x:v>
      </x:c>
      <x:c r="P222" s="16" t="n">
        <x:f>IFERROR(O222/M222,0)</x:f>
        <x:v>0.45367082808383924</x:v>
      </x:c>
      <x:c r="Q222" t="n">
        <x:f>YEAR(B222)</x:f>
        <x:v>2024</x:v>
      </x:c>
      <x:c r="R222" t="str">
        <x:f>TEXT(B222,"yyyy-mm")</x:f>
        <x:v>2024-07</x:v>
      </x:c>
    </x:row>
    <x:row r="223">
      <x:c r="A223" t="n">
        <x:v>10097</x:v>
      </x:c>
      <x:c r="B223" s="10" t="n">
        <x:v>45500</x:v>
      </x:c>
      <x:c r="C223" t="str">
        <x:v>P005</x:v>
      </x:c>
      <x:c r="D223" t="str">
        <x:v>Desk</x:v>
      </x:c>
      <x:c r="E223" t="str">
        <x:v>Furniture</x:v>
      </x:c>
      <x:c r="F223" t="str">
        <x:v>Wales</x:v>
      </x:c>
      <x:c r="G223" t="str">
        <x:v>Online</x:v>
      </x:c>
      <x:c r="H223" t="str">
        <x:v>Completed</x:v>
      </x:c>
      <x:c r="I223" t="n">
        <x:v>2</x:v>
      </x:c>
      <x:c r="J223" s="12" t="n">
        <x:v>267.31</x:v>
      </x:c>
      <x:c r="K223" s="12" t="n">
        <x:v>156.78</x:v>
      </x:c>
      <x:c r="L223" s="14" t="n">
        <x:v>0</x:v>
      </x:c>
      <x:c r="M223" s="12" t="n">
        <x:f>IF(H223="Completed",I223*J223*(1-L223),0)</x:f>
        <x:v>534.62</x:v>
      </x:c>
      <x:c r="N223" s="12" t="n">
        <x:f>IF(H223="Completed",I223*K223,0)</x:f>
        <x:v>313.56</x:v>
      </x:c>
      <x:c r="O223" s="12" t="n">
        <x:f>M223-N223</x:f>
        <x:v>221.06</x:v>
      </x:c>
      <x:c r="P223" s="16" t="n">
        <x:f>IFERROR(O223/M223,0)</x:f>
        <x:v>0.4134899554823987</x:v>
      </x:c>
      <x:c r="Q223" t="n">
        <x:f>YEAR(B223)</x:f>
        <x:v>2024</x:v>
      </x:c>
      <x:c r="R223" t="str">
        <x:f>TEXT(B223,"yyyy-mm")</x:f>
        <x:v>2024-07</x:v>
      </x:c>
    </x:row>
    <x:row r="224">
      <x:c r="A224" t="n">
        <x:v>10657</x:v>
      </x:c>
      <x:c r="B224" s="10" t="n">
        <x:v>45502</x:v>
      </x:c>
      <x:c r="C224" t="str">
        <x:v>P006</x:v>
      </x:c>
      <x:c r="D224" t="str">
        <x:v>Chair</x:v>
      </x:c>
      <x:c r="E224" t="str">
        <x:v>Furniture</x:v>
      </x:c>
      <x:c r="F224" t="str">
        <x:v>South</x:v>
      </x:c>
      <x:c r="G224" t="str">
        <x:v>Partner</x:v>
      </x:c>
      <x:c r="H224" t="str">
        <x:v>Completed</x:v>
      </x:c>
      <x:c r="I224" t="n">
        <x:v>3</x:v>
      </x:c>
      <x:c r="J224" s="12" t="n">
        <x:v>137.73</x:v>
      </x:c>
      <x:c r="K224" s="12" t="n">
        <x:v>69.75</x:v>
      </x:c>
      <x:c r="L224" s="14" t="n">
        <x:v>0.05</x:v>
      </x:c>
      <x:c r="M224" s="12" t="n">
        <x:f>IF(H224="Completed",I224*J224*(1-L224),0)</x:f>
        <x:v>392.5304999999999</x:v>
      </x:c>
      <x:c r="N224" s="12" t="n">
        <x:f>IF(H224="Completed",I224*K224,0)</x:f>
        <x:v>209.25</x:v>
      </x:c>
      <x:c r="O224" s="12" t="n">
        <x:f>M224-N224</x:f>
        <x:v>183.2804999999999</x:v>
      </x:c>
      <x:c r="P224" s="16" t="n">
        <x:f>IFERROR(O224/M224,0)</x:f>
        <x:v>0.4669204049112106</x:v>
      </x:c>
      <x:c r="Q224" t="n">
        <x:f>YEAR(B224)</x:f>
        <x:v>2024</x:v>
      </x:c>
      <x:c r="R224" t="str">
        <x:f>TEXT(B224,"yyyy-mm")</x:f>
        <x:v>2024-07</x:v>
      </x:c>
    </x:row>
    <x:row r="225">
      <x:c r="A225" t="n">
        <x:v>10352</x:v>
      </x:c>
      <x:c r="B225" s="10" t="n">
        <x:v>45504</x:v>
      </x:c>
      <x:c r="C225" t="str">
        <x:v>P008</x:v>
      </x:c>
      <x:c r="D225" t="str">
        <x:v>Webcam</x:v>
      </x:c>
      <x:c r="E225" t="str">
        <x:v>Electronics</x:v>
      </x:c>
      <x:c r="F225" t="str">
        <x:v>South</x:v>
      </x:c>
      <x:c r="G225" t="str">
        <x:v>Partner</x:v>
      </x:c>
      <x:c r="H225" t="str">
        <x:v>Completed</x:v>
      </x:c>
      <x:c r="I225" t="n">
        <x:v>3</x:v>
      </x:c>
      <x:c r="J225" s="12" t="n">
        <x:v>91.36</x:v>
      </x:c>
      <x:c r="K225" s="12" t="n">
        <x:v>41.8</x:v>
      </x:c>
      <x:c r="L225" s="14" t="n">
        <x:v>0</x:v>
      </x:c>
      <x:c r="M225" s="12" t="n">
        <x:f>IF(H225="Completed",I225*J225*(1-L225),0)</x:f>
        <x:v>274.08</x:v>
      </x:c>
      <x:c r="N225" s="12" t="n">
        <x:f>IF(H225="Completed",I225*K225,0)</x:f>
        <x:v>125.39999999999999</x:v>
      </x:c>
      <x:c r="O225" s="12" t="n">
        <x:f>M225-N225</x:f>
        <x:v>148.68</x:v>
      </x:c>
      <x:c r="P225" s="16" t="n">
        <x:f>IFERROR(O225/M225,0)</x:f>
        <x:v>0.5424693520140106</x:v>
      </x:c>
      <x:c r="Q225" t="n">
        <x:f>YEAR(B225)</x:f>
        <x:v>2024</x:v>
      </x:c>
      <x:c r="R225" t="str">
        <x:f>TEXT(B225,"yyyy-mm")</x:f>
        <x:v>2024-07</x:v>
      </x:c>
    </x:row>
    <x:row r="226">
      <x:c r="A226" t="n">
        <x:v>10416</x:v>
      </x:c>
      <x:c r="B226" s="10" t="n">
        <x:v>45506</x:v>
      </x:c>
      <x:c r="C226" t="str">
        <x:v>P003</x:v>
      </x:c>
      <x:c r="D226" t="str">
        <x:v>Keyboard</x:v>
      </x:c>
      <x:c r="E226" t="str">
        <x:v>Accessories</x:v>
      </x:c>
      <x:c r="F226" t="str">
        <x:v>South</x:v>
      </x:c>
      <x:c r="G226" t="str">
        <x:v>Retail</x:v>
      </x:c>
      <x:c r="H226" t="str">
        <x:v>Completed</x:v>
      </x:c>
      <x:c r="I226" t="n">
        <x:v>2</x:v>
      </x:c>
      <x:c r="J226" s="12" t="n">
        <x:v>49.64</x:v>
      </x:c>
      <x:c r="K226" s="12" t="n">
        <x:v>26.3</x:v>
      </x:c>
      <x:c r="L226" s="14" t="n">
        <x:v>0</x:v>
      </x:c>
      <x:c r="M226" s="12" t="n">
        <x:f>IF(H226="Completed",I226*J226*(1-L226),0)</x:f>
        <x:v>99.28</x:v>
      </x:c>
      <x:c r="N226" s="12" t="n">
        <x:f>IF(H226="Completed",I226*K226,0)</x:f>
        <x:v>52.6</x:v>
      </x:c>
      <x:c r="O226" s="12" t="n">
        <x:f>M226-N226</x:f>
        <x:v>46.68</x:v>
      </x:c>
      <x:c r="P226" s="16" t="n">
        <x:f>IFERROR(O226/M226,0)</x:f>
        <x:v>0.4701853344077357</x:v>
      </x:c>
      <x:c r="Q226" t="n">
        <x:f>YEAR(B226)</x:f>
        <x:v>2024</x:v>
      </x:c>
      <x:c r="R226" t="str">
        <x:f>TEXT(B226,"yyyy-mm")</x:f>
        <x:v>2024-08</x:v>
      </x:c>
    </x:row>
    <x:row r="227">
      <x:c r="A227" t="n">
        <x:v>10493</x:v>
      </x:c>
      <x:c r="B227" s="10" t="n">
        <x:v>45508</x:v>
      </x:c>
      <x:c r="C227" t="str">
        <x:v>P003</x:v>
      </x:c>
      <x:c r="D227" t="str">
        <x:v>Keyboard</x:v>
      </x:c>
      <x:c r="E227" t="str">
        <x:v>Accessories</x:v>
      </x:c>
      <x:c r="F227" t="str">
        <x:v>North</x:v>
      </x:c>
      <x:c r="G227" t="str">
        <x:v>Retail</x:v>
      </x:c>
      <x:c r="H227" t="str">
        <x:v>Completed</x:v>
      </x:c>
      <x:c r="I227" t="n">
        <x:v>2</x:v>
      </x:c>
      <x:c r="J227" s="12" t="n">
        <x:v>48.32</x:v>
      </x:c>
      <x:c r="K227" s="12" t="n">
        <x:v>26.53</x:v>
      </x:c>
      <x:c r="L227" s="14" t="n">
        <x:v>0.15</x:v>
      </x:c>
      <x:c r="M227" s="12" t="n">
        <x:f>IF(H227="Completed",I227*J227*(1-L227),0)</x:f>
        <x:v>82.14399999999999</x:v>
      </x:c>
      <x:c r="N227" s="12" t="n">
        <x:f>IF(H227="Completed",I227*K227,0)</x:f>
        <x:v>53.06</x:v>
      </x:c>
      <x:c r="O227" s="12" t="n">
        <x:f>M227-N227</x:f>
        <x:v>29.08399999999999</x:v>
      </x:c>
      <x:c r="P227" s="16" t="n">
        <x:f>IFERROR(O227/M227,0)</x:f>
        <x:v>0.3540611608881962</x:v>
      </x:c>
      <x:c r="Q227" t="n">
        <x:f>YEAR(B227)</x:f>
        <x:v>2024</x:v>
      </x:c>
      <x:c r="R227" t="str">
        <x:f>TEXT(B227,"yyyy-mm")</x:f>
        <x:v>2024-08</x:v>
      </x:c>
    </x:row>
    <x:row r="228">
      <x:c r="A228" t="n">
        <x:v>10485</x:v>
      </x:c>
      <x:c r="B228" s="10" t="n">
        <x:v>45509</x:v>
      </x:c>
      <x:c r="C228" t="str">
        <x:v>P001</x:v>
      </x:c>
      <x:c r="D228" t="str">
        <x:v>Laptop</x:v>
      </x:c>
      <x:c r="E228" t="str">
        <x:v>Electronics</x:v>
      </x:c>
      <x:c r="F228" t="str">
        <x:v>South</x:v>
      </x:c>
      <x:c r="G228" t="str">
        <x:v>Partner</x:v>
      </x:c>
      <x:c r="H228" t="str">
        <x:v>Completed</x:v>
      </x:c>
      <x:c r="I228" t="n">
        <x:v>3</x:v>
      </x:c>
      <x:c r="J228" s="12" t="n">
        <x:v>942.32</x:v>
      </x:c>
      <x:c r="K228" s="12" t="n">
        <x:v>618.94</x:v>
      </x:c>
      <x:c r="L228" s="14" t="n">
        <x:v>0.15</x:v>
      </x:c>
      <x:c r="M228" s="12" t="n">
        <x:f>IF(H228="Completed",I228*J228*(1-L228),0)</x:f>
        <x:v>2402.916</x:v>
      </x:c>
      <x:c r="N228" s="12" t="n">
        <x:f>IF(H228="Completed",I228*K228,0)</x:f>
        <x:v>1856.8200000000002</x:v>
      </x:c>
      <x:c r="O228" s="12" t="n">
        <x:f>M228-N228</x:f>
        <x:v>546.096</x:v>
      </x:c>
      <x:c r="P228" s="16" t="n">
        <x:f>IFERROR(O228/M228,0)</x:f>
        <x:v>0.22726387439261297</x:v>
      </x:c>
      <x:c r="Q228" t="n">
        <x:f>YEAR(B228)</x:f>
        <x:v>2024</x:v>
      </x:c>
      <x:c r="R228" t="str">
        <x:f>TEXT(B228,"yyyy-mm")</x:f>
        <x:v>2024-08</x:v>
      </x:c>
    </x:row>
    <x:row r="229">
      <x:c r="A229" t="n">
        <x:v>10146</x:v>
      </x:c>
      <x:c r="B229" s="10" t="n">
        <x:v>45512</x:v>
      </x:c>
      <x:c r="C229" t="str">
        <x:v>P002</x:v>
      </x:c>
      <x:c r="D229" t="str">
        <x:v>Monitor</x:v>
      </x:c>
      <x:c r="E229" t="str">
        <x:v>Electronics</x:v>
      </x:c>
      <x:c r="F229" t="str">
        <x:v>Midlands</x:v>
      </x:c>
      <x:c r="G229" t="str">
        <x:v>Online</x:v>
      </x:c>
      <x:c r="H229" t="str">
        <x:v>Cancelled</x:v>
      </x:c>
      <x:c r="I229" t="n">
        <x:v>3</x:v>
      </x:c>
      <x:c r="J229" s="12" t="n">
        <x:v>286.96</x:v>
      </x:c>
      <x:c r="K229" s="12" t="n">
        <x:v>169.22</x:v>
      </x:c>
      <x:c r="L229" s="14" t="n">
        <x:v>0.05</x:v>
      </x:c>
      <x:c r="M229" s="12" t="n">
        <x:f>IF(H229="Completed",I229*J229*(1-L229),0)</x:f>
        <x:v>0</x:v>
      </x:c>
      <x:c r="N229" s="12" t="n">
        <x:f>IF(H229="Completed",I229*K229,0)</x:f>
        <x:v>0</x:v>
      </x:c>
      <x:c r="O229" s="12" t="n">
        <x:f>M229-N229</x:f>
        <x:v>0</x:v>
      </x:c>
      <x:c r="P229" s="16" t="n">
        <x:f>IFERROR(O229/M229,0)</x:f>
        <x:v>0</x:v>
      </x:c>
      <x:c r="Q229" t="n">
        <x:f>YEAR(B229)</x:f>
        <x:v>2024</x:v>
      </x:c>
      <x:c r="R229" t="str">
        <x:f>TEXT(B229,"yyyy-mm")</x:f>
        <x:v>2024-08</x:v>
      </x:c>
    </x:row>
    <x:row r="230">
      <x:c r="A230" t="n">
        <x:v>10326</x:v>
      </x:c>
      <x:c r="B230" s="10" t="n">
        <x:v>45514</x:v>
      </x:c>
      <x:c r="C230" t="str">
        <x:v>P002</x:v>
      </x:c>
      <x:c r="D230" t="str">
        <x:v>Monitor</x:v>
      </x:c>
      <x:c r="E230" t="str">
        <x:v>Electronics</x:v>
      </x:c>
      <x:c r="F230" t="str">
        <x:v>North</x:v>
      </x:c>
      <x:c r="G230" t="str">
        <x:v>Online</x:v>
      </x:c>
      <x:c r="H230" t="str">
        <x:v>Completed</x:v>
      </x:c>
      <x:c r="I230" t="n">
        <x:v>1</x:v>
      </x:c>
      <x:c r="J230" s="12" t="n">
        <x:v>295.67</x:v>
      </x:c>
      <x:c r="K230" s="12" t="n">
        <x:v>169.27</x:v>
      </x:c>
      <x:c r="L230" s="14" t="n">
        <x:v>0</x:v>
      </x:c>
      <x:c r="M230" s="12" t="n">
        <x:f>IF(H230="Completed",I230*J230*(1-L230),0)</x:f>
        <x:v>295.67</x:v>
      </x:c>
      <x:c r="N230" s="12" t="n">
        <x:f>IF(H230="Completed",I230*K230,0)</x:f>
        <x:v>169.27</x:v>
      </x:c>
      <x:c r="O230" s="12" t="n">
        <x:f>M230-N230</x:f>
        <x:v>126.4</x:v>
      </x:c>
      <x:c r="P230" s="16" t="n">
        <x:f>IFERROR(O230/M230,0)</x:f>
        <x:v>0.4275036358101938</x:v>
      </x:c>
      <x:c r="Q230" t="n">
        <x:f>YEAR(B230)</x:f>
        <x:v>2024</x:v>
      </x:c>
      <x:c r="R230" t="str">
        <x:f>TEXT(B230,"yyyy-mm")</x:f>
        <x:v>2024-08</x:v>
      </x:c>
    </x:row>
    <x:row r="231">
      <x:c r="A231" t="n">
        <x:v>10363</x:v>
      </x:c>
      <x:c r="B231" s="10" t="n">
        <x:v>45516</x:v>
      </x:c>
      <x:c r="C231" t="str">
        <x:v>P001</x:v>
      </x:c>
      <x:c r="D231" t="str">
        <x:v>Laptop</x:v>
      </x:c>
      <x:c r="E231" t="str">
        <x:v>Electronics</x:v>
      </x:c>
      <x:c r="F231" t="str">
        <x:v>North</x:v>
      </x:c>
      <x:c r="G231" t="str">
        <x:v>Partner</x:v>
      </x:c>
      <x:c r="H231" t="str">
        <x:v>Cancelled</x:v>
      </x:c>
      <x:c r="I231" t="n">
        <x:v>3</x:v>
      </x:c>
      <x:c r="J231" s="12" t="n">
        <x:v>941.78</x:v>
      </x:c>
      <x:c r="K231" s="12" t="n">
        <x:v>638.59</x:v>
      </x:c>
      <x:c r="L231" s="14" t="n">
        <x:v>0</x:v>
      </x:c>
      <x:c r="M231" s="12" t="n">
        <x:f>IF(H231="Completed",I231*J231*(1-L231),0)</x:f>
        <x:v>0</x:v>
      </x:c>
      <x:c r="N231" s="12" t="n">
        <x:f>IF(H231="Completed",I231*K231,0)</x:f>
        <x:v>0</x:v>
      </x:c>
      <x:c r="O231" s="12" t="n">
        <x:f>M231-N231</x:f>
        <x:v>0</x:v>
      </x:c>
      <x:c r="P231" s="16" t="n">
        <x:f>IFERROR(O231/M231,0)</x:f>
        <x:v>0</x:v>
      </x:c>
      <x:c r="Q231" t="n">
        <x:f>YEAR(B231)</x:f>
        <x:v>2024</x:v>
      </x:c>
      <x:c r="R231" t="str">
        <x:f>TEXT(B231,"yyyy-mm")</x:f>
        <x:v>2024-08</x:v>
      </x:c>
    </x:row>
    <x:row r="232">
      <x:c r="A232" t="n">
        <x:v>10147</x:v>
      </x:c>
      <x:c r="B232" s="10" t="n">
        <x:v>45517</x:v>
      </x:c>
      <x:c r="C232" t="str">
        <x:v>P007</x:v>
      </x:c>
      <x:c r="D232" t="str">
        <x:v>Headset</x:v>
      </x:c>
      <x:c r="E232" t="str">
        <x:v>Accessories</x:v>
      </x:c>
      <x:c r="F232" t="str">
        <x:v>North</x:v>
      </x:c>
      <x:c r="G232" t="str">
        <x:v>Online</x:v>
      </x:c>
      <x:c r="H232" t="str">
        <x:v>Completed</x:v>
      </x:c>
      <x:c r="I232" t="n">
        <x:v>1</x:v>
      </x:c>
      <x:c r="J232" s="12" t="n">
        <x:v>73.69</x:v>
      </x:c>
      <x:c r="K232" s="12" t="n">
        <x:v>34.81</x:v>
      </x:c>
      <x:c r="L232" s="14" t="n">
        <x:v>0</x:v>
      </x:c>
      <x:c r="M232" s="12" t="n">
        <x:f>IF(H232="Completed",I232*J232*(1-L232),0)</x:f>
        <x:v>73.69</x:v>
      </x:c>
      <x:c r="N232" s="12" t="n">
        <x:f>IF(H232="Completed",I232*K232,0)</x:f>
        <x:v>34.81</x:v>
      </x:c>
      <x:c r="O232" s="12" t="n">
        <x:f>M232-N232</x:f>
        <x:v>38.879999999999995</x:v>
      </x:c>
      <x:c r="P232" s="16" t="n">
        <x:f>IFERROR(O232/M232,0)</x:f>
        <x:v>0.5276156873388519</x:v>
      </x:c>
      <x:c r="Q232" t="n">
        <x:f>YEAR(B232)</x:f>
        <x:v>2024</x:v>
      </x:c>
      <x:c r="R232" t="str">
        <x:f>TEXT(B232,"yyyy-mm")</x:f>
        <x:v>2024-08</x:v>
      </x:c>
    </x:row>
    <x:row r="233">
      <x:c r="A233" t="n">
        <x:v>10402</x:v>
      </x:c>
      <x:c r="B233" s="10" t="n">
        <x:v>45518</x:v>
      </x:c>
      <x:c r="C233" t="str">
        <x:v>P004</x:v>
      </x:c>
      <x:c r="D233" t="str">
        <x:v>Mouse</x:v>
      </x:c>
      <x:c r="E233" t="str">
        <x:v>Accessories</x:v>
      </x:c>
      <x:c r="F233" t="str">
        <x:v>Midlands</x:v>
      </x:c>
      <x:c r="G233" t="str">
        <x:v>Online</x:v>
      </x:c>
      <x:c r="H233" t="str">
        <x:v>Completed</x:v>
      </x:c>
      <x:c r="I233" t="n">
        <x:v>2</x:v>
      </x:c>
      <x:c r="J233" s="12" t="n">
        <x:v>26.21</x:v>
      </x:c>
      <x:c r="K233" s="12" t="n">
        <x:v>13.33</x:v>
      </x:c>
      <x:c r="L233" s="14" t="n">
        <x:v>0.15</x:v>
      </x:c>
      <x:c r="M233" s="12" t="n">
        <x:f>IF(H233="Completed",I233*J233*(1-L233),0)</x:f>
        <x:v>44.557</x:v>
      </x:c>
      <x:c r="N233" s="12" t="n">
        <x:f>IF(H233="Completed",I233*K233,0)</x:f>
        <x:v>26.66</x:v>
      </x:c>
      <x:c r="O233" s="12" t="n">
        <x:f>M233-N233</x:f>
        <x:v>17.897000000000002</x:v>
      </x:c>
      <x:c r="P233" s="16" t="n">
        <x:f>IFERROR(O233/M233,0)</x:f>
        <x:v>0.4016652826716341</x:v>
      </x:c>
      <x:c r="Q233" t="n">
        <x:f>YEAR(B233)</x:f>
        <x:v>2024</x:v>
      </x:c>
      <x:c r="R233" t="str">
        <x:f>TEXT(B233,"yyyy-mm")</x:f>
        <x:v>2024-08</x:v>
      </x:c>
    </x:row>
    <x:row r="234">
      <x:c r="A234" t="n">
        <x:v>10356</x:v>
      </x:c>
      <x:c r="B234" s="10" t="n">
        <x:v>45519</x:v>
      </x:c>
      <x:c r="C234" t="str">
        <x:v>P003</x:v>
      </x:c>
      <x:c r="D234" t="str">
        <x:v>Keyboard</x:v>
      </x:c>
      <x:c r="E234" t="str">
        <x:v>Accessories</x:v>
      </x:c>
      <x:c r="F234" t="str">
        <x:v>Scotland</x:v>
      </x:c>
      <x:c r="G234" t="str">
        <x:v>Online</x:v>
      </x:c>
      <x:c r="H234" t="str">
        <x:v>Completed</x:v>
      </x:c>
      <x:c r="I234" t="n">
        <x:v>2</x:v>
      </x:c>
      <x:c r="J234" s="12" t="n">
        <x:v>49.54</x:v>
      </x:c>
      <x:c r="K234" s="12" t="n">
        <x:v>26.67</x:v>
      </x:c>
      <x:c r="L234" s="14" t="n">
        <x:v>0.1</x:v>
      </x:c>
      <x:c r="M234" s="12" t="n">
        <x:f>IF(H234="Completed",I234*J234*(1-L234),0)</x:f>
        <x:v>89.172</x:v>
      </x:c>
      <x:c r="N234" s="12" t="n">
        <x:f>IF(H234="Completed",I234*K234,0)</x:f>
        <x:v>53.34</x:v>
      </x:c>
      <x:c r="O234" s="12" t="n">
        <x:f>M234-N234</x:f>
        <x:v>35.831999999999994</x:v>
      </x:c>
      <x:c r="P234" s="16" t="n">
        <x:f>IFERROR(O234/M234,0)</x:f>
        <x:v>0.4018301709056654</x:v>
      </x:c>
      <x:c r="Q234" t="n">
        <x:f>YEAR(B234)</x:f>
        <x:v>2024</x:v>
      </x:c>
      <x:c r="R234" t="str">
        <x:f>TEXT(B234,"yyyy-mm")</x:f>
        <x:v>2024-08</x:v>
      </x:c>
    </x:row>
    <x:row r="235">
      <x:c r="A235" t="n">
        <x:v>10742</x:v>
      </x:c>
      <x:c r="B235" s="10" t="n">
        <x:v>45519</x:v>
      </x:c>
      <x:c r="C235" t="str">
        <x:v>P005</x:v>
      </x:c>
      <x:c r="D235" t="str">
        <x:v>Desk</x:v>
      </x:c>
      <x:c r="E235" t="str">
        <x:v>Furniture</x:v>
      </x:c>
      <x:c r="F235" t="str">
        <x:v>North</x:v>
      </x:c>
      <x:c r="G235" t="str">
        <x:v>Online</x:v>
      </x:c>
      <x:c r="H235" t="str">
        <x:v>Completed</x:v>
      </x:c>
      <x:c r="I235" t="n">
        <x:v>2</x:v>
      </x:c>
      <x:c r="J235" s="12" t="n">
        <x:v>279.68</x:v>
      </x:c>
      <x:c r="K235" s="12" t="n">
        <x:v>152.58</x:v>
      </x:c>
      <x:c r="L235" s="14" t="n">
        <x:v>0.15</x:v>
      </x:c>
      <x:c r="M235" s="12" t="n">
        <x:f>IF(H235="Completed",I235*J235*(1-L235),0)</x:f>
        <x:v>475.456</x:v>
      </x:c>
      <x:c r="N235" s="12" t="n">
        <x:f>IF(H235="Completed",I235*K235,0)</x:f>
        <x:v>305.16</x:v>
      </x:c>
      <x:c r="O235" s="12" t="n">
        <x:f>M235-N235</x:f>
        <x:v>170.296</x:v>
      </x:c>
      <x:c r="P235" s="16" t="n">
        <x:f>IFERROR(O235/M235,0)</x:f>
        <x:v>0.358174047651097</x:v>
      </x:c>
      <x:c r="Q235" t="n">
        <x:f>YEAR(B235)</x:f>
        <x:v>2024</x:v>
      </x:c>
      <x:c r="R235" t="str">
        <x:f>TEXT(B235,"yyyy-mm")</x:f>
        <x:v>2024-08</x:v>
      </x:c>
    </x:row>
    <x:row r="236">
      <x:c r="A236" t="n">
        <x:v>10486</x:v>
      </x:c>
      <x:c r="B236" s="10" t="n">
        <x:v>45520</x:v>
      </x:c>
      <x:c r="C236" t="str">
        <x:v>P005</x:v>
      </x:c>
      <x:c r="D236" t="str">
        <x:v>Desk</x:v>
      </x:c>
      <x:c r="E236" t="str">
        <x:v>Furniture</x:v>
      </x:c>
      <x:c r="F236" t="str">
        <x:v>South</x:v>
      </x:c>
      <x:c r="G236" t="str">
        <x:v>Online</x:v>
      </x:c>
      <x:c r="H236" t="str">
        <x:v>Completed</x:v>
      </x:c>
      <x:c r="I236" t="n">
        <x:v>2</x:v>
      </x:c>
      <x:c r="J236" s="12" t="n">
        <x:v>276.42</x:v>
      </x:c>
      <x:c r="K236" s="12" t="n">
        <x:v>157.04</x:v>
      </x:c>
      <x:c r="L236" s="14" t="n">
        <x:v>0</x:v>
      </x:c>
      <x:c r="M236" s="12" t="n">
        <x:f>IF(H236="Completed",I236*J236*(1-L236),0)</x:f>
        <x:v>552.84</x:v>
      </x:c>
      <x:c r="N236" s="12" t="n">
        <x:f>IF(H236="Completed",I236*K236,0)</x:f>
        <x:v>314.08</x:v>
      </x:c>
      <x:c r="O236" s="12" t="n">
        <x:f>M236-N236</x:f>
        <x:v>238.76000000000005</x:v>
      </x:c>
      <x:c r="P236" s="16" t="n">
        <x:f>IFERROR(O236/M236,0)</x:f>
        <x:v>0.43187902467259975</x:v>
      </x:c>
      <x:c r="Q236" t="n">
        <x:f>YEAR(B236)</x:f>
        <x:v>2024</x:v>
      </x:c>
      <x:c r="R236" t="str">
        <x:f>TEXT(B236,"yyyy-mm")</x:f>
        <x:v>2024-08</x:v>
      </x:c>
    </x:row>
    <x:row r="237">
      <x:c r="A237" t="n">
        <x:v>10750</x:v>
      </x:c>
      <x:c r="B237" s="10" t="n">
        <x:v>45521</x:v>
      </x:c>
      <x:c r="C237" t="str">
        <x:v>P001</x:v>
      </x:c>
      <x:c r="D237" t="str">
        <x:v>Laptop</x:v>
      </x:c>
      <x:c r="E237" t="str">
        <x:v>Electronics</x:v>
      </x:c>
      <x:c r="F237" t="str">
        <x:v>North</x:v>
      </x:c>
      <x:c r="G237" t="str">
        <x:v>Online</x:v>
      </x:c>
      <x:c r="H237" t="str">
        <x:v>Completed</x:v>
      </x:c>
      <x:c r="I237" t="n">
        <x:v>1</x:v>
      </x:c>
      <x:c r="J237" s="12" t="n">
        <x:v>934.51</x:v>
      </x:c>
      <x:c r="K237" s="12" t="n">
        <x:v>635.27</x:v>
      </x:c>
      <x:c r="L237" s="14" t="n">
        <x:v>0</x:v>
      </x:c>
      <x:c r="M237" s="12" t="n">
        <x:f>IF(H237="Completed",I237*J237*(1-L237),0)</x:f>
        <x:v>934.51</x:v>
      </x:c>
      <x:c r="N237" s="12" t="n">
        <x:f>IF(H237="Completed",I237*K237,0)</x:f>
        <x:v>635.27</x:v>
      </x:c>
      <x:c r="O237" s="12" t="n">
        <x:f>M237-N237</x:f>
        <x:v>299.24</x:v>
      </x:c>
      <x:c r="P237" s="16" t="n">
        <x:f>IFERROR(O237/M237,0)</x:f>
        <x:v>0.32021059164695936</x:v>
      </x:c>
      <x:c r="Q237" t="n">
        <x:f>YEAR(B237)</x:f>
        <x:v>2024</x:v>
      </x:c>
      <x:c r="R237" t="str">
        <x:f>TEXT(B237,"yyyy-mm")</x:f>
        <x:v>2024-08</x:v>
      </x:c>
    </x:row>
    <x:row r="238">
      <x:c r="A238" t="n">
        <x:v>10200</x:v>
      </x:c>
      <x:c r="B238" s="10" t="n">
        <x:v>45522</x:v>
      </x:c>
      <x:c r="C238" t="str">
        <x:v>P006</x:v>
      </x:c>
      <x:c r="D238" t="str">
        <x:v>Chair</x:v>
      </x:c>
      <x:c r="E238" t="str">
        <x:v>Furniture</x:v>
      </x:c>
      <x:c r="F238" t="str">
        <x:v>Scotland</x:v>
      </x:c>
      <x:c r="G238" t="str">
        <x:v>Online</x:v>
      </x:c>
      <x:c r="H238" t="str">
        <x:v>Cancelled</x:v>
      </x:c>
      <x:c r="I238" t="n">
        <x:v>3</x:v>
      </x:c>
      <x:c r="J238" s="12" t="n">
        <x:v>132.13</x:v>
      </x:c>
      <x:c r="K238" s="12" t="n">
        <x:v>67.67</x:v>
      </x:c>
      <x:c r="L238" s="14" t="n">
        <x:v>0</x:v>
      </x:c>
      <x:c r="M238" s="12" t="n">
        <x:f>IF(H238="Completed",I238*J238*(1-L238),0)</x:f>
        <x:v>0</x:v>
      </x:c>
      <x:c r="N238" s="12" t="n">
        <x:f>IF(H238="Completed",I238*K238,0)</x:f>
        <x:v>0</x:v>
      </x:c>
      <x:c r="O238" s="12" t="n">
        <x:f>M238-N238</x:f>
        <x:v>0</x:v>
      </x:c>
      <x:c r="P238" s="16" t="n">
        <x:f>IFERROR(O238/M238,0)</x:f>
        <x:v>0</x:v>
      </x:c>
      <x:c r="Q238" t="n">
        <x:f>YEAR(B238)</x:f>
        <x:v>2024</x:v>
      </x:c>
      <x:c r="R238" t="str">
        <x:f>TEXT(B238,"yyyy-mm")</x:f>
        <x:v>2024-08</x:v>
      </x:c>
    </x:row>
    <x:row r="239">
      <x:c r="A239" t="n">
        <x:v>10044</x:v>
      </x:c>
      <x:c r="B239" s="10" t="n">
        <x:v>45525</x:v>
      </x:c>
      <x:c r="C239" t="str">
        <x:v>P004</x:v>
      </x:c>
      <x:c r="D239" t="str">
        <x:v>Mouse</x:v>
      </x:c>
      <x:c r="E239" t="str">
        <x:v>Accessories</x:v>
      </x:c>
      <x:c r="F239" t="str">
        <x:v>South</x:v>
      </x:c>
      <x:c r="G239" t="str">
        <x:v>Online</x:v>
      </x:c>
      <x:c r="H239" t="str">
        <x:v>Completed</x:v>
      </x:c>
      <x:c r="I239" t="n">
        <x:v>1</x:v>
      </x:c>
      <x:c r="J239" s="12" t="n">
        <x:v>28.02</x:v>
      </x:c>
      <x:c r="K239" s="12" t="n">
        <x:v>12.92</x:v>
      </x:c>
      <x:c r="L239" s="14" t="n">
        <x:v>0</x:v>
      </x:c>
      <x:c r="M239" s="12" t="n">
        <x:f>IF(H239="Completed",I239*J239*(1-L239),0)</x:f>
        <x:v>28.02</x:v>
      </x:c>
      <x:c r="N239" s="12" t="n">
        <x:f>IF(H239="Completed",I239*K239,0)</x:f>
        <x:v>12.92</x:v>
      </x:c>
      <x:c r="O239" s="12" t="n">
        <x:f>M239-N239</x:f>
        <x:v>15.1</x:v>
      </x:c>
      <x:c r="P239" s="16" t="n">
        <x:f>IFERROR(O239/M239,0)</x:f>
        <x:v>0.5389007851534618</x:v>
      </x:c>
      <x:c r="Q239" t="n">
        <x:f>YEAR(B239)</x:f>
        <x:v>2024</x:v>
      </x:c>
      <x:c r="R239" t="str">
        <x:f>TEXT(B239,"yyyy-mm")</x:f>
        <x:v>2024-08</x:v>
      </x:c>
    </x:row>
    <x:row r="240">
      <x:c r="A240" t="n">
        <x:v>10021</x:v>
      </x:c>
      <x:c r="B240" s="10" t="n">
        <x:v>45526</x:v>
      </x:c>
      <x:c r="C240" t="str">
        <x:v>P002</x:v>
      </x:c>
      <x:c r="D240" t="str">
        <x:v>Monitor</x:v>
      </x:c>
      <x:c r="E240" t="str">
        <x:v>Electronics</x:v>
      </x:c>
      <x:c r="F240" t="str">
        <x:v>Scotland</x:v>
      </x:c>
      <x:c r="G240" t="str">
        <x:v>Online</x:v>
      </x:c>
      <x:c r="H240" t="str">
        <x:v>Completed</x:v>
      </x:c>
      <x:c r="I240" t="n">
        <x:v>1</x:v>
      </x:c>
      <x:c r="J240" s="12" t="n">
        <x:v>289.8</x:v>
      </x:c>
      <x:c r="K240" s="12" t="n">
        <x:v>168.42</x:v>
      </x:c>
      <x:c r="L240" s="14" t="n">
        <x:v>0</x:v>
      </x:c>
      <x:c r="M240" s="12" t="n">
        <x:f>IF(H240="Completed",I240*J240*(1-L240),0)</x:f>
        <x:v>289.8</x:v>
      </x:c>
      <x:c r="N240" s="12" t="n">
        <x:f>IF(H240="Completed",I240*K240,0)</x:f>
        <x:v>168.42</x:v>
      </x:c>
      <x:c r="O240" s="12" t="n">
        <x:f>M240-N240</x:f>
        <x:v>121.38000000000002</x:v>
      </x:c>
      <x:c r="P240" s="16" t="n">
        <x:f>IFERROR(O240/M240,0)</x:f>
        <x:v>0.418840579710145</x:v>
      </x:c>
      <x:c r="Q240" t="n">
        <x:f>YEAR(B240)</x:f>
        <x:v>2024</x:v>
      </x:c>
      <x:c r="R240" t="str">
        <x:f>TEXT(B240,"yyyy-mm")</x:f>
        <x:v>2024-08</x:v>
      </x:c>
    </x:row>
    <x:row r="241">
      <x:c r="A241" t="n">
        <x:v>10265</x:v>
      </x:c>
      <x:c r="B241" s="10" t="n">
        <x:v>45528</x:v>
      </x:c>
      <x:c r="C241" t="str">
        <x:v>P002</x:v>
      </x:c>
      <x:c r="D241" t="str">
        <x:v>Monitor</x:v>
      </x:c>
      <x:c r="E241" t="str">
        <x:v>Electronics</x:v>
      </x:c>
      <x:c r="F241" t="str">
        <x:v>North</x:v>
      </x:c>
      <x:c r="G241" t="str">
        <x:v>Online</x:v>
      </x:c>
      <x:c r="H241" t="str">
        <x:v>Completed</x:v>
      </x:c>
      <x:c r="I241" t="n">
        <x:v>2</x:v>
      </x:c>
      <x:c r="J241" s="12" t="n">
        <x:v>288.78</x:v>
      </x:c>
      <x:c r="K241" s="12" t="n">
        <x:v>172.27</x:v>
      </x:c>
      <x:c r="L241" s="14" t="n">
        <x:v>0</x:v>
      </x:c>
      <x:c r="M241" s="12" t="n">
        <x:f>IF(H241="Completed",I241*J241*(1-L241),0)</x:f>
        <x:v>577.56</x:v>
      </x:c>
      <x:c r="N241" s="12" t="n">
        <x:f>IF(H241="Completed",I241*K241,0)</x:f>
        <x:v>344.54</x:v>
      </x:c>
      <x:c r="O241" s="12" t="n">
        <x:f>M241-N241</x:f>
        <x:v>233.01999999999992</x:v>
      </x:c>
      <x:c r="P241" s="16" t="n">
        <x:f>IFERROR(O241/M241,0)</x:f>
        <x:v>0.4034559179998614</x:v>
      </x:c>
      <x:c r="Q241" t="n">
        <x:f>YEAR(B241)</x:f>
        <x:v>2024</x:v>
      </x:c>
      <x:c r="R241" t="str">
        <x:f>TEXT(B241,"yyyy-mm")</x:f>
        <x:v>2024-08</x:v>
      </x:c>
    </x:row>
    <x:row r="242">
      <x:c r="A242" t="n">
        <x:v>10629</x:v>
      </x:c>
      <x:c r="B242" s="10" t="n">
        <x:v>45530</x:v>
      </x:c>
      <x:c r="C242" t="str">
        <x:v>P005</x:v>
      </x:c>
      <x:c r="D242" t="str">
        <x:v>Desk</x:v>
      </x:c>
      <x:c r="E242" t="str">
        <x:v>Furniture</x:v>
      </x:c>
      <x:c r="F242" t="str">
        <x:v>North</x:v>
      </x:c>
      <x:c r="G242" t="str">
        <x:v>Online</x:v>
      </x:c>
      <x:c r="H242" t="str">
        <x:v>Completed</x:v>
      </x:c>
      <x:c r="I242" t="n">
        <x:v>2</x:v>
      </x:c>
      <x:c r="J242" s="12" t="n">
        <x:v>283.08</x:v>
      </x:c>
      <x:c r="K242" s="12" t="n">
        <x:v>158.1</x:v>
      </x:c>
      <x:c r="L242" s="14" t="n">
        <x:v>0.15</x:v>
      </x:c>
      <x:c r="M242" s="12" t="n">
        <x:f>IF(H242="Completed",I242*J242*(1-L242),0)</x:f>
        <x:v>481.23599999999993</x:v>
      </x:c>
      <x:c r="N242" s="12" t="n">
        <x:f>IF(H242="Completed",I242*K242,0)</x:f>
        <x:v>316.2</x:v>
      </x:c>
      <x:c r="O242" s="12" t="n">
        <x:f>M242-N242</x:f>
        <x:v>165.03599999999994</x:v>
      </x:c>
      <x:c r="P242" s="16" t="n">
        <x:f>IFERROR(O242/M242,0)</x:f>
        <x:v>0.34294192454429834</x:v>
      </x:c>
      <x:c r="Q242" t="n">
        <x:f>YEAR(B242)</x:f>
        <x:v>2024</x:v>
      </x:c>
      <x:c r="R242" t="str">
        <x:f>TEXT(B242,"yyyy-mm")</x:f>
        <x:v>2024-08</x:v>
      </x:c>
    </x:row>
    <x:row r="243">
      <x:c r="A243" t="n">
        <x:v>10251</x:v>
      </x:c>
      <x:c r="B243" s="10" t="n">
        <x:v>45531</x:v>
      </x:c>
      <x:c r="C243" t="str">
        <x:v>P006</x:v>
      </x:c>
      <x:c r="D243" t="str">
        <x:v>Chair</x:v>
      </x:c>
      <x:c r="E243" t="str">
        <x:v>Furniture</x:v>
      </x:c>
      <x:c r="F243" t="str">
        <x:v>North</x:v>
      </x:c>
      <x:c r="G243" t="str">
        <x:v>Partner</x:v>
      </x:c>
      <x:c r="H243" t="str">
        <x:v>Cancelled</x:v>
      </x:c>
      <x:c r="I243" t="n">
        <x:v>3</x:v>
      </x:c>
      <x:c r="J243" s="12" t="n">
        <x:v>134.86</x:v>
      </x:c>
      <x:c r="K243" s="12" t="n">
        <x:v>67.58</x:v>
      </x:c>
      <x:c r="L243" s="14" t="n">
        <x:v>0</x:v>
      </x:c>
      <x:c r="M243" s="12" t="n">
        <x:f>IF(H243="Completed",I243*J243*(1-L243),0)</x:f>
        <x:v>0</x:v>
      </x:c>
      <x:c r="N243" s="12" t="n">
        <x:f>IF(H243="Completed",I243*K243,0)</x:f>
        <x:v>0</x:v>
      </x:c>
      <x:c r="O243" s="12" t="n">
        <x:f>M243-N243</x:f>
        <x:v>0</x:v>
      </x:c>
      <x:c r="P243" s="16" t="n">
        <x:f>IFERROR(O243/M243,0)</x:f>
        <x:v>0</x:v>
      </x:c>
      <x:c r="Q243" t="n">
        <x:f>YEAR(B243)</x:f>
        <x:v>2024</x:v>
      </x:c>
      <x:c r="R243" t="str">
        <x:f>TEXT(B243,"yyyy-mm")</x:f>
        <x:v>2024-08</x:v>
      </x:c>
    </x:row>
    <x:row r="244">
      <x:c r="A244" t="n">
        <x:v>10053</x:v>
      </x:c>
      <x:c r="B244" s="10" t="n">
        <x:v>45532</x:v>
      </x:c>
      <x:c r="C244" t="str">
        <x:v>P005</x:v>
      </x:c>
      <x:c r="D244" t="str">
        <x:v>Desk</x:v>
      </x:c>
      <x:c r="E244" t="str">
        <x:v>Furniture</x:v>
      </x:c>
      <x:c r="F244" t="str">
        <x:v>Scotland</x:v>
      </x:c>
      <x:c r="G244" t="str">
        <x:v>Online</x:v>
      </x:c>
      <x:c r="H244" t="str">
        <x:v>Completed</x:v>
      </x:c>
      <x:c r="I244" t="n">
        <x:v>2</x:v>
      </x:c>
      <x:c r="J244" s="12" t="n">
        <x:v>285.69</x:v>
      </x:c>
      <x:c r="K244" s="12" t="n">
        <x:v>156.64</x:v>
      </x:c>
      <x:c r="L244" s="14" t="n">
        <x:v>0</x:v>
      </x:c>
      <x:c r="M244" s="12" t="n">
        <x:f>IF(H244="Completed",I244*J244*(1-L244),0)</x:f>
        <x:v>571.38</x:v>
      </x:c>
      <x:c r="N244" s="12" t="n">
        <x:f>IF(H244="Completed",I244*K244,0)</x:f>
        <x:v>313.28</x:v>
      </x:c>
      <x:c r="O244" s="12" t="n">
        <x:f>M244-N244</x:f>
        <x:v>258.1</x:v>
      </x:c>
      <x:c r="P244" s="16" t="n">
        <x:f>IFERROR(O244/M244,0)</x:f>
        <x:v>0.45171339563862933</x:v>
      </x:c>
      <x:c r="Q244" t="n">
        <x:f>YEAR(B244)</x:f>
        <x:v>2024</x:v>
      </x:c>
      <x:c r="R244" t="str">
        <x:f>TEXT(B244,"yyyy-mm")</x:f>
        <x:v>2024-08</x:v>
      </x:c>
    </x:row>
    <x:row r="245">
      <x:c r="A245" t="n">
        <x:v>10807</x:v>
      </x:c>
      <x:c r="B245" s="10" t="n">
        <x:v>45533</x:v>
      </x:c>
      <x:c r="C245" t="str">
        <x:v>P005</x:v>
      </x:c>
      <x:c r="D245" t="str">
        <x:v>Desk</x:v>
      </x:c>
      <x:c r="E245" t="str">
        <x:v>Furniture</x:v>
      </x:c>
      <x:c r="F245" t="str">
        <x:v>Scotland</x:v>
      </x:c>
      <x:c r="G245" t="str">
        <x:v>Online</x:v>
      </x:c>
      <x:c r="H245" t="str">
        <x:v>Completed</x:v>
      </x:c>
      <x:c r="I245" t="n">
        <x:v>2</x:v>
      </x:c>
      <x:c r="J245" s="12" t="n">
        <x:v>272.86</x:v>
      </x:c>
      <x:c r="K245" s="12" t="n">
        <x:v>158.19</x:v>
      </x:c>
      <x:c r="L245" s="14" t="n">
        <x:v>0.15</x:v>
      </x:c>
      <x:c r="M245" s="12" t="n">
        <x:f>IF(H245="Completed",I245*J245*(1-L245),0)</x:f>
        <x:v>463.862</x:v>
      </x:c>
      <x:c r="N245" s="12" t="n">
        <x:f>IF(H245="Completed",I245*K245,0)</x:f>
        <x:v>316.38</x:v>
      </x:c>
      <x:c r="O245" s="12" t="n">
        <x:f>M245-N245</x:f>
        <x:v>147.48200000000003</x:v>
      </x:c>
      <x:c r="P245" s="16" t="n">
        <x:f>IFERROR(O245/M245,0)</x:f>
        <x:v>0.3179436987724798</x:v>
      </x:c>
      <x:c r="Q245" t="n">
        <x:f>YEAR(B245)</x:f>
        <x:v>2024</x:v>
      </x:c>
      <x:c r="R245" t="str">
        <x:f>TEXT(B245,"yyyy-mm")</x:f>
        <x:v>2024-08</x:v>
      </x:c>
    </x:row>
    <x:row r="246">
      <x:c r="A246" t="n">
        <x:v>10921</x:v>
      </x:c>
      <x:c r="B246" s="10" t="n">
        <x:v>45534</x:v>
      </x:c>
      <x:c r="C246" t="str">
        <x:v>P002</x:v>
      </x:c>
      <x:c r="D246" t="str">
        <x:v>Monitor</x:v>
      </x:c>
      <x:c r="E246" t="str">
        <x:v>Electronics</x:v>
      </x:c>
      <x:c r="F246" t="str">
        <x:v>Scotland</x:v>
      </x:c>
      <x:c r="G246" t="str">
        <x:v>Retail</x:v>
      </x:c>
      <x:c r="H246" t="str">
        <x:v>Cancelled</x:v>
      </x:c>
      <x:c r="I246" t="n">
        <x:v>4</x:v>
      </x:c>
      <x:c r="J246" s="12" t="n">
        <x:v>278.16</x:v>
      </x:c>
      <x:c r="K246" s="12" t="n">
        <x:v>167.12</x:v>
      </x:c>
      <x:c r="L246" s="14" t="n">
        <x:v>0</x:v>
      </x:c>
      <x:c r="M246" s="12" t="n">
        <x:f>IF(H246="Completed",I246*J246*(1-L246),0)</x:f>
        <x:v>0</x:v>
      </x:c>
      <x:c r="N246" s="12" t="n">
        <x:f>IF(H246="Completed",I246*K246,0)</x:f>
        <x:v>0</x:v>
      </x:c>
      <x:c r="O246" s="12" t="n">
        <x:f>M246-N246</x:f>
        <x:v>0</x:v>
      </x:c>
      <x:c r="P246" s="16" t="n">
        <x:f>IFERROR(O246/M246,0)</x:f>
        <x:v>0</x:v>
      </x:c>
      <x:c r="Q246" t="n">
        <x:f>YEAR(B246)</x:f>
        <x:v>2024</x:v>
      </x:c>
      <x:c r="R246" t="str">
        <x:f>TEXT(B246,"yyyy-mm")</x:f>
        <x:v>2024-08</x:v>
      </x:c>
    </x:row>
    <x:row r="247">
      <x:c r="A247" t="n">
        <x:v>10457</x:v>
      </x:c>
      <x:c r="B247" s="10" t="n">
        <x:v>45535</x:v>
      </x:c>
      <x:c r="C247" t="str">
        <x:v>P005</x:v>
      </x:c>
      <x:c r="D247" t="str">
        <x:v>Desk</x:v>
      </x:c>
      <x:c r="E247" t="str">
        <x:v>Furniture</x:v>
      </x:c>
      <x:c r="F247" t="str">
        <x:v>Wales</x:v>
      </x:c>
      <x:c r="G247" t="str">
        <x:v>Online</x:v>
      </x:c>
      <x:c r="H247" t="str">
        <x:v>Completed</x:v>
      </x:c>
      <x:c r="I247" t="n">
        <x:v>1</x:v>
      </x:c>
      <x:c r="J247" s="12" t="n">
        <x:v>267.79</x:v>
      </x:c>
      <x:c r="K247" s="12" t="n">
        <x:v>157.66</x:v>
      </x:c>
      <x:c r="L247" s="14" t="n">
        <x:v>0.1</x:v>
      </x:c>
      <x:c r="M247" s="12" t="n">
        <x:f>IF(H247="Completed",I247*J247*(1-L247),0)</x:f>
        <x:v>241.01100000000002</x:v>
      </x:c>
      <x:c r="N247" s="12" t="n">
        <x:f>IF(H247="Completed",I247*K247,0)</x:f>
        <x:v>157.66</x:v>
      </x:c>
      <x:c r="O247" s="12" t="n">
        <x:f>M247-N247</x:f>
        <x:v>83.35100000000003</x:v>
      </x:c>
      <x:c r="P247" s="16" t="n">
        <x:f>IFERROR(O247/M247,0)</x:f>
        <x:v>0.34583898660227136</x:v>
      </x:c>
      <x:c r="Q247" t="n">
        <x:f>YEAR(B247)</x:f>
        <x:v>2024</x:v>
      </x:c>
      <x:c r="R247" t="str">
        <x:f>TEXT(B247,"yyyy-mm")</x:f>
        <x:v>2024-08</x:v>
      </x:c>
    </x:row>
    <x:row r="248">
      <x:c r="A248" t="n">
        <x:v>10933</x:v>
      </x:c>
      <x:c r="B248" s="10" t="n">
        <x:v>45536</x:v>
      </x:c>
      <x:c r="C248" t="str">
        <x:v>P008</x:v>
      </x:c>
      <x:c r="D248" t="str">
        <x:v>Webcam</x:v>
      </x:c>
      <x:c r="E248" t="str">
        <x:v>Electronics</x:v>
      </x:c>
      <x:c r="F248" t="str">
        <x:v>Scotland</x:v>
      </x:c>
      <x:c r="G248" t="str">
        <x:v>Online</x:v>
      </x:c>
      <x:c r="H248" t="str">
        <x:v>Completed</x:v>
      </x:c>
      <x:c r="I248" t="n">
        <x:v>3</x:v>
      </x:c>
      <x:c r="J248" s="12" t="n">
        <x:v>91.48</x:v>
      </x:c>
      <x:c r="K248" s="12" t="n">
        <x:v>41.17</x:v>
      </x:c>
      <x:c r="L248" s="14" t="n">
        <x:v>0</x:v>
      </x:c>
      <x:c r="M248" s="12" t="n">
        <x:f>IF(H248="Completed",I248*J248*(1-L248),0)</x:f>
        <x:v>274.44</x:v>
      </x:c>
      <x:c r="N248" s="12" t="n">
        <x:f>IF(H248="Completed",I248*K248,0)</x:f>
        <x:v>123.51</x:v>
      </x:c>
      <x:c r="O248" s="12" t="n">
        <x:f>M248-N248</x:f>
        <x:v>150.93</x:v>
      </x:c>
      <x:c r="P248" s="16" t="n">
        <x:f>IFERROR(O248/M248,0)</x:f>
        <x:v>0.5499562745955401</x:v>
      </x:c>
      <x:c r="Q248" t="n">
        <x:f>YEAR(B248)</x:f>
        <x:v>2024</x:v>
      </x:c>
      <x:c r="R248" t="str">
        <x:f>TEXT(B248,"yyyy-mm")</x:f>
        <x:v>2024-09</x:v>
      </x:c>
    </x:row>
    <x:row r="249">
      <x:c r="A249" t="n">
        <x:v>10077</x:v>
      </x:c>
      <x:c r="B249" s="10" t="n">
        <x:v>45538</x:v>
      </x:c>
      <x:c r="C249" t="str">
        <x:v>P008</x:v>
      </x:c>
      <x:c r="D249" t="str">
        <x:v>Webcam</x:v>
      </x:c>
      <x:c r="E249" t="str">
        <x:v>Electronics</x:v>
      </x:c>
      <x:c r="F249" t="str">
        <x:v>Midlands</x:v>
      </x:c>
      <x:c r="G249" t="str">
        <x:v>Online</x:v>
      </x:c>
      <x:c r="H249" t="str">
        <x:v>Completed</x:v>
      </x:c>
      <x:c r="I249" t="n">
        <x:v>4</x:v>
      </x:c>
      <x:c r="J249" s="12" t="n">
        <x:v>88.85</x:v>
      </x:c>
      <x:c r="K249" s="12" t="n">
        <x:v>41.67</x:v>
      </x:c>
      <x:c r="L249" s="14" t="n">
        <x:v>0</x:v>
      </x:c>
      <x:c r="M249" s="12" t="n">
        <x:f>IF(H249="Completed",I249*J249*(1-L249),0)</x:f>
        <x:v>355.4</x:v>
      </x:c>
      <x:c r="N249" s="12" t="n">
        <x:f>IF(H249="Completed",I249*K249,0)</x:f>
        <x:v>166.68</x:v>
      </x:c>
      <x:c r="O249" s="12" t="n">
        <x:f>M249-N249</x:f>
        <x:v>188.71999999999997</x:v>
      </x:c>
      <x:c r="P249" s="16" t="n">
        <x:f>IFERROR(O249/M249,0)</x:f>
        <x:v>0.531007315700619</x:v>
      </x:c>
      <x:c r="Q249" t="n">
        <x:f>YEAR(B249)</x:f>
        <x:v>2024</x:v>
      </x:c>
      <x:c r="R249" t="str">
        <x:f>TEXT(B249,"yyyy-mm")</x:f>
        <x:v>2024-09</x:v>
      </x:c>
    </x:row>
    <x:row r="250">
      <x:c r="A250" t="n">
        <x:v>10178</x:v>
      </x:c>
      <x:c r="B250" s="10" t="n">
        <x:v>45538</x:v>
      </x:c>
      <x:c r="C250" t="str">
        <x:v>P007</x:v>
      </x:c>
      <x:c r="D250" t="str">
        <x:v>Headset</x:v>
      </x:c>
      <x:c r="E250" t="str">
        <x:v>Accessories</x:v>
      </x:c>
      <x:c r="F250" t="str">
        <x:v>South</x:v>
      </x:c>
      <x:c r="G250" t="str">
        <x:v>Online</x:v>
      </x:c>
      <x:c r="H250" t="str">
        <x:v>Completed</x:v>
      </x:c>
      <x:c r="I250" t="n">
        <x:v>2</x:v>
      </x:c>
      <x:c r="J250" s="12" t="n">
        <x:v>74.65</x:v>
      </x:c>
      <x:c r="K250" s="12" t="n">
        <x:v>35.25</x:v>
      </x:c>
      <x:c r="L250" s="14" t="n">
        <x:v>0</x:v>
      </x:c>
      <x:c r="M250" s="12" t="n">
        <x:f>IF(H250="Completed",I250*J250*(1-L250),0)</x:f>
        <x:v>149.3</x:v>
      </x:c>
      <x:c r="N250" s="12" t="n">
        <x:f>IF(H250="Completed",I250*K250,0)</x:f>
        <x:v>70.5</x:v>
      </x:c>
      <x:c r="O250" s="12" t="n">
        <x:f>M250-N250</x:f>
        <x:v>78.80000000000001</x:v>
      </x:c>
      <x:c r="P250" s="16" t="n">
        <x:f>IFERROR(O250/M250,0)</x:f>
        <x:v>0.5277963831212324</x:v>
      </x:c>
      <x:c r="Q250" t="n">
        <x:f>YEAR(B250)</x:f>
        <x:v>2024</x:v>
      </x:c>
      <x:c r="R250" t="str">
        <x:f>TEXT(B250,"yyyy-mm")</x:f>
        <x:v>2024-09</x:v>
      </x:c>
    </x:row>
    <x:row r="251">
      <x:c r="A251" t="n">
        <x:v>10400</x:v>
      </x:c>
      <x:c r="B251" s="10" t="n">
        <x:v>45539</x:v>
      </x:c>
      <x:c r="C251" t="str">
        <x:v>P006</x:v>
      </x:c>
      <x:c r="D251" t="str">
        <x:v>Chair</x:v>
      </x:c>
      <x:c r="E251" t="str">
        <x:v>Furniture</x:v>
      </x:c>
      <x:c r="F251" t="str">
        <x:v>South</x:v>
      </x:c>
      <x:c r="G251" t="str">
        <x:v>Online</x:v>
      </x:c>
      <x:c r="H251" t="str">
        <x:v>Completed</x:v>
      </x:c>
      <x:c r="I251" t="n">
        <x:v>4</x:v>
      </x:c>
      <x:c r="J251" s="12" t="n">
        <x:v>136.16</x:v>
      </x:c>
      <x:c r="K251" s="12" t="n">
        <x:v>67.81</x:v>
      </x:c>
      <x:c r="L251" s="14" t="n">
        <x:v>0.1</x:v>
      </x:c>
      <x:c r="M251" s="12" t="n">
        <x:f>IF(H251="Completed",I251*J251*(1-L251),0)</x:f>
        <x:v>490.176</x:v>
      </x:c>
      <x:c r="N251" s="12" t="n">
        <x:f>IF(H251="Completed",I251*K251,0)</x:f>
        <x:v>271.24</x:v>
      </x:c>
      <x:c r="O251" s="12" t="n">
        <x:f>M251-N251</x:f>
        <x:v>218.93599999999998</x:v>
      </x:c>
      <x:c r="P251" s="16" t="n">
        <x:f>IFERROR(O251/M251,0)</x:f>
        <x:v>0.44664773469121294</x:v>
      </x:c>
      <x:c r="Q251" t="n">
        <x:f>YEAR(B251)</x:f>
        <x:v>2024</x:v>
      </x:c>
      <x:c r="R251" t="str">
        <x:f>TEXT(B251,"yyyy-mm")</x:f>
        <x:v>2024-09</x:v>
      </x:c>
    </x:row>
    <x:row r="252">
      <x:c r="A252" t="n">
        <x:v>10523</x:v>
      </x:c>
      <x:c r="B252" s="10" t="n">
        <x:v>45539</x:v>
      </x:c>
      <x:c r="C252" t="str">
        <x:v>P005</x:v>
      </x:c>
      <x:c r="D252" t="str">
        <x:v>Desk</x:v>
      </x:c>
      <x:c r="E252" t="str">
        <x:v>Furniture</x:v>
      </x:c>
      <x:c r="F252" t="str">
        <x:v>North</x:v>
      </x:c>
      <x:c r="G252" t="str">
        <x:v>Retail</x:v>
      </x:c>
      <x:c r="H252" t="str">
        <x:v>Cancelled</x:v>
      </x:c>
      <x:c r="I252" t="n">
        <x:v>2</x:v>
      </x:c>
      <x:c r="J252" s="12" t="n">
        <x:v>269.75</x:v>
      </x:c>
      <x:c r="K252" s="12" t="n">
        <x:v>152.73</x:v>
      </x:c>
      <x:c r="L252" s="14" t="n">
        <x:v>0</x:v>
      </x:c>
      <x:c r="M252" s="12" t="n">
        <x:f>IF(H252="Completed",I252*J252*(1-L252),0)</x:f>
        <x:v>0</x:v>
      </x:c>
      <x:c r="N252" s="12" t="n">
        <x:f>IF(H252="Completed",I252*K252,0)</x:f>
        <x:v>0</x:v>
      </x:c>
      <x:c r="O252" s="12" t="n">
        <x:f>M252-N252</x:f>
        <x:v>0</x:v>
      </x:c>
      <x:c r="P252" s="16" t="n">
        <x:f>IFERROR(O252/M252,0)</x:f>
        <x:v>0</x:v>
      </x:c>
      <x:c r="Q252" t="n">
        <x:f>YEAR(B252)</x:f>
        <x:v>2024</x:v>
      </x:c>
      <x:c r="R252" t="str">
        <x:f>TEXT(B252,"yyyy-mm")</x:f>
        <x:v>2024-09</x:v>
      </x:c>
    </x:row>
    <x:row r="253">
      <x:c r="A253" t="n">
        <x:v>10679</x:v>
      </x:c>
      <x:c r="B253" s="10" t="n">
        <x:v>45539</x:v>
      </x:c>
      <x:c r="C253" t="str">
        <x:v>P004</x:v>
      </x:c>
      <x:c r="D253" t="str">
        <x:v>Mouse</x:v>
      </x:c>
      <x:c r="E253" t="str">
        <x:v>Accessories</x:v>
      </x:c>
      <x:c r="F253" t="str">
        <x:v>South</x:v>
      </x:c>
      <x:c r="G253" t="str">
        <x:v>Partner</x:v>
      </x:c>
      <x:c r="H253" t="str">
        <x:v>Completed</x:v>
      </x:c>
      <x:c r="I253" t="n">
        <x:v>3</x:v>
      </x:c>
      <x:c r="J253" s="12" t="n">
        <x:v>26.21</x:v>
      </x:c>
      <x:c r="K253" s="12" t="n">
        <x:v>12.75</x:v>
      </x:c>
      <x:c r="L253" s="14" t="n">
        <x:v>0.1</x:v>
      </x:c>
      <x:c r="M253" s="12" t="n">
        <x:f>IF(H253="Completed",I253*J253*(1-L253),0)</x:f>
        <x:v>70.767</x:v>
      </x:c>
      <x:c r="N253" s="12" t="n">
        <x:f>IF(H253="Completed",I253*K253,0)</x:f>
        <x:v>38.25</x:v>
      </x:c>
      <x:c r="O253" s="12" t="n">
        <x:f>M253-N253</x:f>
        <x:v>32.516999999999996</x:v>
      </x:c>
      <x:c r="P253" s="16" t="n">
        <x:f>IFERROR(O253/M253,0)</x:f>
        <x:v>0.4594938318707872</x:v>
      </x:c>
      <x:c r="Q253" t="n">
        <x:f>YEAR(B253)</x:f>
        <x:v>2024</x:v>
      </x:c>
      <x:c r="R253" t="str">
        <x:f>TEXT(B253,"yyyy-mm")</x:f>
        <x:v>2024-09</x:v>
      </x:c>
    </x:row>
    <x:row r="254">
      <x:c r="A254" t="n">
        <x:v>10055</x:v>
      </x:c>
      <x:c r="B254" s="10" t="n">
        <x:v>45541</x:v>
      </x:c>
      <x:c r="C254" t="str">
        <x:v>P003</x:v>
      </x:c>
      <x:c r="D254" t="str">
        <x:v>Keyboard</x:v>
      </x:c>
      <x:c r="E254" t="str">
        <x:v>Accessories</x:v>
      </x:c>
      <x:c r="F254" t="str">
        <x:v>Wales</x:v>
      </x:c>
      <x:c r="G254" t="str">
        <x:v>Partner</x:v>
      </x:c>
      <x:c r="H254" t="str">
        <x:v>Completed</x:v>
      </x:c>
      <x:c r="I254" t="n">
        <x:v>1</x:v>
      </x:c>
      <x:c r="J254" s="12" t="n">
        <x:v>48.28</x:v>
      </x:c>
      <x:c r="K254" s="12" t="n">
        <x:v>26.53</x:v>
      </x:c>
      <x:c r="L254" s="14" t="n">
        <x:v>0.05</x:v>
      </x:c>
      <x:c r="M254" s="12" t="n">
        <x:f>IF(H254="Completed",I254*J254*(1-L254),0)</x:f>
        <x:v>45.866</x:v>
      </x:c>
      <x:c r="N254" s="12" t="n">
        <x:f>IF(H254="Completed",I254*K254,0)</x:f>
        <x:v>26.53</x:v>
      </x:c>
      <x:c r="O254" s="12" t="n">
        <x:f>M254-N254</x:f>
        <x:v>19.336</x:v>
      </x:c>
      <x:c r="P254" s="16" t="n">
        <x:f>IFERROR(O254/M254,0)</x:f>
        <x:v>0.4215758949984738</x:v>
      </x:c>
      <x:c r="Q254" t="n">
        <x:f>YEAR(B254)</x:f>
        <x:v>2024</x:v>
      </x:c>
      <x:c r="R254" t="str">
        <x:f>TEXT(B254,"yyyy-mm")</x:f>
        <x:v>2024-09</x:v>
      </x:c>
    </x:row>
    <x:row r="255">
      <x:c r="A255" t="n">
        <x:v>10495</x:v>
      </x:c>
      <x:c r="B255" s="10" t="n">
        <x:v>45541</x:v>
      </x:c>
      <x:c r="C255" t="str">
        <x:v>P001</x:v>
      </x:c>
      <x:c r="D255" t="str">
        <x:v>Laptop</x:v>
      </x:c>
      <x:c r="E255" t="str">
        <x:v>Electronics</x:v>
      </x:c>
      <x:c r="F255" t="str">
        <x:v>South</x:v>
      </x:c>
      <x:c r="G255" t="str">
        <x:v>Online</x:v>
      </x:c>
      <x:c r="H255" t="str">
        <x:v>Cancelled</x:v>
      </x:c>
      <x:c r="I255" t="n">
        <x:v>2</x:v>
      </x:c>
      <x:c r="J255" s="12" t="n">
        <x:v>949.77</x:v>
      </x:c>
      <x:c r="K255" s="12" t="n">
        <x:v>612.15</x:v>
      </x:c>
      <x:c r="L255" s="14" t="n">
        <x:v>0</x:v>
      </x:c>
      <x:c r="M255" s="12" t="n">
        <x:f>IF(H255="Completed",I255*J255*(1-L255),0)</x:f>
        <x:v>0</x:v>
      </x:c>
      <x:c r="N255" s="12" t="n">
        <x:f>IF(H255="Completed",I255*K255,0)</x:f>
        <x:v>0</x:v>
      </x:c>
      <x:c r="O255" s="12" t="n">
        <x:f>M255-N255</x:f>
        <x:v>0</x:v>
      </x:c>
      <x:c r="P255" s="16" t="n">
        <x:f>IFERROR(O255/M255,0)</x:f>
        <x:v>0</x:v>
      </x:c>
      <x:c r="Q255" t="n">
        <x:f>YEAR(B255)</x:f>
        <x:v>2024</x:v>
      </x:c>
      <x:c r="R255" t="str">
        <x:f>TEXT(B255,"yyyy-mm")</x:f>
        <x:v>2024-09</x:v>
      </x:c>
    </x:row>
    <x:row r="256">
      <x:c r="A256" t="n">
        <x:v>10345</x:v>
      </x:c>
      <x:c r="B256" s="10" t="n">
        <x:v>45543</x:v>
      </x:c>
      <x:c r="C256" t="str">
        <x:v>P003</x:v>
      </x:c>
      <x:c r="D256" t="str">
        <x:v>Keyboard</x:v>
      </x:c>
      <x:c r="E256" t="str">
        <x:v>Accessories</x:v>
      </x:c>
      <x:c r="F256" t="str">
        <x:v>Wales</x:v>
      </x:c>
      <x:c r="G256" t="str">
        <x:v>Online</x:v>
      </x:c>
      <x:c r="H256" t="str">
        <x:v>Cancelled</x:v>
      </x:c>
      <x:c r="I256" t="n">
        <x:v>1</x:v>
      </x:c>
      <x:c r="J256" s="12" t="n">
        <x:v>49.71</x:v>
      </x:c>
      <x:c r="K256" s="12" t="n">
        <x:v>26.38</x:v>
      </x:c>
      <x:c r="L256" s="14" t="n">
        <x:v>0</x:v>
      </x:c>
      <x:c r="M256" s="12" t="n">
        <x:f>IF(H256="Completed",I256*J256*(1-L256),0)</x:f>
        <x:v>0</x:v>
      </x:c>
      <x:c r="N256" s="12" t="n">
        <x:f>IF(H256="Completed",I256*K256,0)</x:f>
        <x:v>0</x:v>
      </x:c>
      <x:c r="O256" s="12" t="n">
        <x:f>M256-N256</x:f>
        <x:v>0</x:v>
      </x:c>
      <x:c r="P256" s="16" t="n">
        <x:f>IFERROR(O256/M256,0)</x:f>
        <x:v>0</x:v>
      </x:c>
      <x:c r="Q256" t="n">
        <x:f>YEAR(B256)</x:f>
        <x:v>2024</x:v>
      </x:c>
      <x:c r="R256" t="str">
        <x:f>TEXT(B256,"yyyy-mm")</x:f>
        <x:v>2024-09</x:v>
      </x:c>
    </x:row>
    <x:row r="257">
      <x:c r="A257" t="n">
        <x:v>10797</x:v>
      </x:c>
      <x:c r="B257" s="10" t="n">
        <x:v>45543</x:v>
      </x:c>
      <x:c r="C257" t="str">
        <x:v>P005</x:v>
      </x:c>
      <x:c r="D257" t="str">
        <x:v>Desk</x:v>
      </x:c>
      <x:c r="E257" t="str">
        <x:v>Furniture</x:v>
      </x:c>
      <x:c r="F257" t="str">
        <x:v>South</x:v>
      </x:c>
      <x:c r="G257" t="str">
        <x:v>Partner</x:v>
      </x:c>
      <x:c r="H257" t="str">
        <x:v>Completed</x:v>
      </x:c>
      <x:c r="I257" t="n">
        <x:v>4</x:v>
      </x:c>
      <x:c r="J257" s="12" t="n">
        <x:v>284.18</x:v>
      </x:c>
      <x:c r="K257" s="12" t="n">
        <x:v>153.47</x:v>
      </x:c>
      <x:c r="L257" s="14" t="n">
        <x:v>0.15</x:v>
      </x:c>
      <x:c r="M257" s="12" t="n">
        <x:f>IF(H257="Completed",I257*J257*(1-L257),0)</x:f>
        <x:v>966.212</x:v>
      </x:c>
      <x:c r="N257" s="12" t="n">
        <x:f>IF(H257="Completed",I257*K257,0)</x:f>
        <x:v>613.88</x:v>
      </x:c>
      <x:c r="O257" s="12" t="n">
        <x:f>M257-N257</x:f>
        <x:v>352.332</x:v>
      </x:c>
      <x:c r="P257" s="16" t="n">
        <x:f>IFERROR(O257/M257,0)</x:f>
        <x:v>0.36465289191191996</x:v>
      </x:c>
      <x:c r="Q257" t="n">
        <x:f>YEAR(B257)</x:f>
        <x:v>2024</x:v>
      </x:c>
      <x:c r="R257" t="str">
        <x:f>TEXT(B257,"yyyy-mm")</x:f>
        <x:v>2024-09</x:v>
      </x:c>
    </x:row>
    <x:row r="258">
      <x:c r="A258" t="n">
        <x:v>10031</x:v>
      </x:c>
      <x:c r="B258" s="10" t="n">
        <x:v>45544</x:v>
      </x:c>
      <x:c r="C258" t="str">
        <x:v>P001</x:v>
      </x:c>
      <x:c r="D258" t="str">
        <x:v>Laptop</x:v>
      </x:c>
      <x:c r="E258" t="str">
        <x:v>Electronics</x:v>
      </x:c>
      <x:c r="F258" t="str">
        <x:v>Midlands</x:v>
      </x:c>
      <x:c r="G258" t="str">
        <x:v>Retail</x:v>
      </x:c>
      <x:c r="H258" t="str">
        <x:v>Cancelled</x:v>
      </x:c>
      <x:c r="I258" t="n">
        <x:v>1</x:v>
      </x:c>
      <x:c r="J258" s="12" t="n">
        <x:v>952.6</x:v>
      </x:c>
      <x:c r="K258" s="12" t="n">
        <x:v>613.93</x:v>
      </x:c>
      <x:c r="L258" s="14" t="n">
        <x:v>0</x:v>
      </x:c>
      <x:c r="M258" s="12" t="n">
        <x:f>IF(H258="Completed",I258*J258*(1-L258),0)</x:f>
        <x:v>0</x:v>
      </x:c>
      <x:c r="N258" s="12" t="n">
        <x:f>IF(H258="Completed",I258*K258,0)</x:f>
        <x:v>0</x:v>
      </x:c>
      <x:c r="O258" s="12" t="n">
        <x:f>M258-N258</x:f>
        <x:v>0</x:v>
      </x:c>
      <x:c r="P258" s="16" t="n">
        <x:f>IFERROR(O258/M258,0)</x:f>
        <x:v>0</x:v>
      </x:c>
      <x:c r="Q258" t="n">
        <x:f>YEAR(B258)</x:f>
        <x:v>2024</x:v>
      </x:c>
      <x:c r="R258" t="str">
        <x:f>TEXT(B258,"yyyy-mm")</x:f>
        <x:v>2024-09</x:v>
      </x:c>
    </x:row>
    <x:row r="259">
      <x:c r="A259" t="n">
        <x:v>10804</x:v>
      </x:c>
      <x:c r="B259" s="10" t="n">
        <x:v>45544</x:v>
      </x:c>
      <x:c r="C259" t="str">
        <x:v>P005</x:v>
      </x:c>
      <x:c r="D259" t="str">
        <x:v>Desk</x:v>
      </x:c>
      <x:c r="E259" t="str">
        <x:v>Furniture</x:v>
      </x:c>
      <x:c r="F259" t="str">
        <x:v>Midlands</x:v>
      </x:c>
      <x:c r="G259" t="str">
        <x:v>Retail</x:v>
      </x:c>
      <x:c r="H259" t="str">
        <x:v>Completed</x:v>
      </x:c>
      <x:c r="I259" t="n">
        <x:v>2</x:v>
      </x:c>
      <x:c r="J259" s="12" t="n">
        <x:v>279.17</x:v>
      </x:c>
      <x:c r="K259" s="12" t="n">
        <x:v>158.92</x:v>
      </x:c>
      <x:c r="L259" s="14" t="n">
        <x:v>0</x:v>
      </x:c>
      <x:c r="M259" s="12" t="n">
        <x:f>IF(H259="Completed",I259*J259*(1-L259),0)</x:f>
        <x:v>558.34</x:v>
      </x:c>
      <x:c r="N259" s="12" t="n">
        <x:f>IF(H259="Completed",I259*K259,0)</x:f>
        <x:v>317.84</x:v>
      </x:c>
      <x:c r="O259" s="12" t="n">
        <x:f>M259-N259</x:f>
        <x:v>240.50000000000006</x:v>
      </x:c>
      <x:c r="P259" s="16" t="n">
        <x:f>IFERROR(O259/M259,0)</x:f>
        <x:v>0.4307411254790988</x:v>
      </x:c>
      <x:c r="Q259" t="n">
        <x:f>YEAR(B259)</x:f>
        <x:v>2024</x:v>
      </x:c>
      <x:c r="R259" t="str">
        <x:f>TEXT(B259,"yyyy-mm")</x:f>
        <x:v>2024-09</x:v>
      </x:c>
    </x:row>
    <x:row r="260">
      <x:c r="A260" t="n">
        <x:v>10248</x:v>
      </x:c>
      <x:c r="B260" s="10" t="n">
        <x:v>45545</x:v>
      </x:c>
      <x:c r="C260" t="str">
        <x:v>P008</x:v>
      </x:c>
      <x:c r="D260" t="str">
        <x:v>Webcam</x:v>
      </x:c>
      <x:c r="E260" t="str">
        <x:v>Electronics</x:v>
      </x:c>
      <x:c r="F260" t="str">
        <x:v>North</x:v>
      </x:c>
      <x:c r="G260" t="str">
        <x:v>Online</x:v>
      </x:c>
      <x:c r="H260" t="str">
        <x:v>Completed</x:v>
      </x:c>
      <x:c r="I260" t="n">
        <x:v>3</x:v>
      </x:c>
      <x:c r="J260" s="12" t="n">
        <x:v>91.37</x:v>
      </x:c>
      <x:c r="K260" s="12" t="n">
        <x:v>42.04</x:v>
      </x:c>
      <x:c r="L260" s="14" t="n">
        <x:v>0</x:v>
      </x:c>
      <x:c r="M260" s="12" t="n">
        <x:f>IF(H260="Completed",I260*J260*(1-L260),0)</x:f>
        <x:v>274.11</x:v>
      </x:c>
      <x:c r="N260" s="12" t="n">
        <x:f>IF(H260="Completed",I260*K260,0)</x:f>
        <x:v>126.12</x:v>
      </x:c>
      <x:c r="O260" s="12" t="n">
        <x:f>M260-N260</x:f>
        <x:v>147.99</x:v>
      </x:c>
      <x:c r="P260" s="16" t="n">
        <x:f>IFERROR(O260/M260,0)</x:f>
        <x:v>0.5398927437889899</x:v>
      </x:c>
      <x:c r="Q260" t="n">
        <x:f>YEAR(B260)</x:f>
        <x:v>2024</x:v>
      </x:c>
      <x:c r="R260" t="str">
        <x:f>TEXT(B260,"yyyy-mm")</x:f>
        <x:v>2024-09</x:v>
      </x:c>
    </x:row>
    <x:row r="261">
      <x:c r="A261" t="n">
        <x:v>10785</x:v>
      </x:c>
      <x:c r="B261" s="10" t="n">
        <x:v>45545</x:v>
      </x:c>
      <x:c r="C261" t="str">
        <x:v>P004</x:v>
      </x:c>
      <x:c r="D261" t="str">
        <x:v>Mouse</x:v>
      </x:c>
      <x:c r="E261" t="str">
        <x:v>Accessories</x:v>
      </x:c>
      <x:c r="F261" t="str">
        <x:v>South</x:v>
      </x:c>
      <x:c r="G261" t="str">
        <x:v>Partner</x:v>
      </x:c>
      <x:c r="H261" t="str">
        <x:v>Completed</x:v>
      </x:c>
      <x:c r="I261" t="n">
        <x:v>3</x:v>
      </x:c>
      <x:c r="J261" s="12" t="n">
        <x:v>26.41</x:v>
      </x:c>
      <x:c r="K261" s="12" t="n">
        <x:v>12.85</x:v>
      </x:c>
      <x:c r="L261" s="14" t="n">
        <x:v>0</x:v>
      </x:c>
      <x:c r="M261" s="12" t="n">
        <x:f>IF(H261="Completed",I261*J261*(1-L261),0)</x:f>
        <x:v>79.23</x:v>
      </x:c>
      <x:c r="N261" s="12" t="n">
        <x:f>IF(H261="Completed",I261*K261,0)</x:f>
        <x:v>38.55</x:v>
      </x:c>
      <x:c r="O261" s="12" t="n">
        <x:f>M261-N261</x:f>
        <x:v>40.68000000000001</x:v>
      </x:c>
      <x:c r="P261" s="16" t="n">
        <x:f>IFERROR(O261/M261,0)</x:f>
        <x:v>0.5134418780764862</x:v>
      </x:c>
      <x:c r="Q261" t="n">
        <x:f>YEAR(B261)</x:f>
        <x:v>2024</x:v>
      </x:c>
      <x:c r="R261" t="str">
        <x:f>TEXT(B261,"yyyy-mm")</x:f>
        <x:v>2024-09</x:v>
      </x:c>
    </x:row>
    <x:row r="262">
      <x:c r="A262" t="n">
        <x:v>10556</x:v>
      </x:c>
      <x:c r="B262" s="10" t="n">
        <x:v>45546</x:v>
      </x:c>
      <x:c r="C262" t="str">
        <x:v>P007</x:v>
      </x:c>
      <x:c r="D262" t="str">
        <x:v>Headset</x:v>
      </x:c>
      <x:c r="E262" t="str">
        <x:v>Accessories</x:v>
      </x:c>
      <x:c r="F262" t="str">
        <x:v>Midlands</x:v>
      </x:c>
      <x:c r="G262" t="str">
        <x:v>Partner</x:v>
      </x:c>
      <x:c r="H262" t="str">
        <x:v>Completed</x:v>
      </x:c>
      <x:c r="I262" t="n">
        <x:v>4</x:v>
      </x:c>
      <x:c r="J262" s="12" t="n">
        <x:v>73.55</x:v>
      </x:c>
      <x:c r="K262" s="12" t="n">
        <x:v>34.46</x:v>
      </x:c>
      <x:c r="L262" s="14" t="n">
        <x:v>0.05</x:v>
      </x:c>
      <x:c r="M262" s="12" t="n">
        <x:f>IF(H262="Completed",I262*J262*(1-L262),0)</x:f>
        <x:v>279.48999999999995</x:v>
      </x:c>
      <x:c r="N262" s="12" t="n">
        <x:f>IF(H262="Completed",I262*K262,0)</x:f>
        <x:v>137.84</x:v>
      </x:c>
      <x:c r="O262" s="12" t="n">
        <x:f>M262-N262</x:f>
        <x:v>141.64999999999995</x:v>
      </x:c>
      <x:c r="P262" s="16" t="n">
        <x:f>IFERROR(O262/M262,0)</x:f>
        <x:v>0.506815986260689</x:v>
      </x:c>
      <x:c r="Q262" t="n">
        <x:f>YEAR(B262)</x:f>
        <x:v>2024</x:v>
      </x:c>
      <x:c r="R262" t="str">
        <x:f>TEXT(B262,"yyyy-mm")</x:f>
        <x:v>2024-09</x:v>
      </x:c>
    </x:row>
    <x:row r="263">
      <x:c r="A263" t="n">
        <x:v>10580</x:v>
      </x:c>
      <x:c r="B263" s="10" t="n">
        <x:v>45547</x:v>
      </x:c>
      <x:c r="C263" t="str">
        <x:v>P004</x:v>
      </x:c>
      <x:c r="D263" t="str">
        <x:v>Mouse</x:v>
      </x:c>
      <x:c r="E263" t="str">
        <x:v>Accessories</x:v>
      </x:c>
      <x:c r="F263" t="str">
        <x:v>Scotland</x:v>
      </x:c>
      <x:c r="G263" t="str">
        <x:v>Online</x:v>
      </x:c>
      <x:c r="H263" t="str">
        <x:v>Completed</x:v>
      </x:c>
      <x:c r="I263" t="n">
        <x:v>3</x:v>
      </x:c>
      <x:c r="J263" s="12" t="n">
        <x:v>27.92</x:v>
      </x:c>
      <x:c r="K263" s="12" t="n">
        <x:v>13.22</x:v>
      </x:c>
      <x:c r="L263" s="14" t="n">
        <x:v>0.1</x:v>
      </x:c>
      <x:c r="M263" s="12" t="n">
        <x:f>IF(H263="Completed",I263*J263*(1-L263),0)</x:f>
        <x:v>75.384</x:v>
      </x:c>
      <x:c r="N263" s="12" t="n">
        <x:f>IF(H263="Completed",I263*K263,0)</x:f>
        <x:v>39.660000000000004</x:v>
      </x:c>
      <x:c r="O263" s="12" t="n">
        <x:f>M263-N263</x:f>
        <x:v>35.724</x:v>
      </x:c>
      <x:c r="P263" s="16" t="n">
        <x:f>IFERROR(O263/M263,0)</x:f>
        <x:v>0.473893664438077</x:v>
      </x:c>
      <x:c r="Q263" t="n">
        <x:f>YEAR(B263)</x:f>
        <x:v>2024</x:v>
      </x:c>
      <x:c r="R263" t="str">
        <x:f>TEXT(B263,"yyyy-mm")</x:f>
        <x:v>2024-09</x:v>
      </x:c>
    </x:row>
    <x:row r="264">
      <x:c r="A264" t="n">
        <x:v>10424</x:v>
      </x:c>
      <x:c r="B264" s="10" t="n">
        <x:v>45550</x:v>
      </x:c>
      <x:c r="C264" t="str">
        <x:v>P008</x:v>
      </x:c>
      <x:c r="D264" t="str">
        <x:v>Webcam</x:v>
      </x:c>
      <x:c r="E264" t="str">
        <x:v>Electronics</x:v>
      </x:c>
      <x:c r="F264" t="str">
        <x:v>North</x:v>
      </x:c>
      <x:c r="G264" t="str">
        <x:v>Retail</x:v>
      </x:c>
      <x:c r="H264" t="str">
        <x:v>Completed</x:v>
      </x:c>
      <x:c r="I264" t="n">
        <x:v>2</x:v>
      </x:c>
      <x:c r="J264" s="12" t="n">
        <x:v>88.95</x:v>
      </x:c>
      <x:c r="K264" s="12" t="n">
        <x:v>41.37</x:v>
      </x:c>
      <x:c r="L264" s="14" t="n">
        <x:v>0</x:v>
      </x:c>
      <x:c r="M264" s="12" t="n">
        <x:f>IF(H264="Completed",I264*J264*(1-L264),0)</x:f>
        <x:v>177.9</x:v>
      </x:c>
      <x:c r="N264" s="12" t="n">
        <x:f>IF(H264="Completed",I264*K264,0)</x:f>
        <x:v>82.74</x:v>
      </x:c>
      <x:c r="O264" s="12" t="n">
        <x:f>M264-N264</x:f>
        <x:v>95.16000000000001</x:v>
      </x:c>
      <x:c r="P264" s="16" t="n">
        <x:f>IFERROR(O264/M264,0)</x:f>
        <x:v>0.5349072512647556</x:v>
      </x:c>
      <x:c r="Q264" t="n">
        <x:f>YEAR(B264)</x:f>
        <x:v>2024</x:v>
      </x:c>
      <x:c r="R264" t="str">
        <x:f>TEXT(B264,"yyyy-mm")</x:f>
        <x:v>2024-09</x:v>
      </x:c>
    </x:row>
    <x:row r="265">
      <x:c r="A265" t="n">
        <x:v>10508</x:v>
      </x:c>
      <x:c r="B265" s="10" t="n">
        <x:v>45551</x:v>
      </x:c>
      <x:c r="C265" t="str">
        <x:v>P005</x:v>
      </x:c>
      <x:c r="D265" t="str">
        <x:v>Desk</x:v>
      </x:c>
      <x:c r="E265" t="str">
        <x:v>Furniture</x:v>
      </x:c>
      <x:c r="F265" t="str">
        <x:v>Scotland</x:v>
      </x:c>
      <x:c r="G265" t="str">
        <x:v>Online</x:v>
      </x:c>
      <x:c r="H265" t="str">
        <x:v>Completed</x:v>
      </x:c>
      <x:c r="I265" t="n">
        <x:v>3</x:v>
      </x:c>
      <x:c r="J265" s="12" t="n">
        <x:v>269.04</x:v>
      </x:c>
      <x:c r="K265" s="12" t="n">
        <x:v>153.68</x:v>
      </x:c>
      <x:c r="L265" s="14" t="n">
        <x:v>0.15</x:v>
      </x:c>
      <x:c r="M265" s="12" t="n">
        <x:f>IF(H265="Completed",I265*J265*(1-L265),0)</x:f>
        <x:v>686.0520000000001</x:v>
      </x:c>
      <x:c r="N265" s="12" t="n">
        <x:f>IF(H265="Completed",I265*K265,0)</x:f>
        <x:v>461.04</x:v>
      </x:c>
      <x:c r="O265" s="12" t="n">
        <x:f>M265-N265</x:f>
        <x:v>225.0120000000001</x:v>
      </x:c>
      <x:c r="P265" s="16" t="n">
        <x:f>IFERROR(O265/M265,0)</x:f>
        <x:v>0.3279809693725841</x:v>
      </x:c>
      <x:c r="Q265" t="n">
        <x:f>YEAR(B265)</x:f>
        <x:v>2024</x:v>
      </x:c>
      <x:c r="R265" t="str">
        <x:f>TEXT(B265,"yyyy-mm")</x:f>
        <x:v>2024-09</x:v>
      </x:c>
    </x:row>
    <x:row r="266">
      <x:c r="A266" t="n">
        <x:v>10631</x:v>
      </x:c>
      <x:c r="B266" s="10" t="n">
        <x:v>45552</x:v>
      </x:c>
      <x:c r="C266" t="str">
        <x:v>P002</x:v>
      </x:c>
      <x:c r="D266" t="str">
        <x:v>Monitor</x:v>
      </x:c>
      <x:c r="E266" t="str">
        <x:v>Electronics</x:v>
      </x:c>
      <x:c r="F266" t="str">
        <x:v>Midlands</x:v>
      </x:c>
      <x:c r="G266" t="str">
        <x:v>Online</x:v>
      </x:c>
      <x:c r="H266" t="str">
        <x:v>Completed</x:v>
      </x:c>
      <x:c r="I266" t="n">
        <x:v>3</x:v>
      </x:c>
      <x:c r="J266" s="12" t="n">
        <x:v>290.13</x:v>
      </x:c>
      <x:c r="K266" s="12" t="n">
        <x:v>169.5</x:v>
      </x:c>
      <x:c r="L266" s="14" t="n">
        <x:v>0</x:v>
      </x:c>
      <x:c r="M266" s="12" t="n">
        <x:f>IF(H266="Completed",I266*J266*(1-L266),0)</x:f>
        <x:v>870.39</x:v>
      </x:c>
      <x:c r="N266" s="12" t="n">
        <x:f>IF(H266="Completed",I266*K266,0)</x:f>
        <x:v>508.5</x:v>
      </x:c>
      <x:c r="O266" s="12" t="n">
        <x:f>M266-N266</x:f>
        <x:v>361.89</x:v>
      </x:c>
      <x:c r="P266" s="16" t="n">
        <x:f>IFERROR(O266/M266,0)</x:f>
        <x:v>0.41577913349188295</x:v>
      </x:c>
      <x:c r="Q266" t="n">
        <x:f>YEAR(B266)</x:f>
        <x:v>2024</x:v>
      </x:c>
      <x:c r="R266" t="str">
        <x:f>TEXT(B266,"yyyy-mm")</x:f>
        <x:v>2024-09</x:v>
      </x:c>
    </x:row>
    <x:row r="267">
      <x:c r="A267" t="n">
        <x:v>10945</x:v>
      </x:c>
      <x:c r="B267" s="10" t="n">
        <x:v>45552</x:v>
      </x:c>
      <x:c r="C267" t="str">
        <x:v>P002</x:v>
      </x:c>
      <x:c r="D267" t="str">
        <x:v>Monitor</x:v>
      </x:c>
      <x:c r="E267" t="str">
        <x:v>Electronics</x:v>
      </x:c>
      <x:c r="F267" t="str">
        <x:v>Scotland</x:v>
      </x:c>
      <x:c r="G267" t="str">
        <x:v>Online</x:v>
      </x:c>
      <x:c r="H267" t="str">
        <x:v>Cancelled</x:v>
      </x:c>
      <x:c r="I267" t="n">
        <x:v>2</x:v>
      </x:c>
      <x:c r="J267" s="12" t="n">
        <x:v>281.04</x:v>
      </x:c>
      <x:c r="K267" s="12" t="n">
        <x:v>166.95</x:v>
      </x:c>
      <x:c r="L267" s="14" t="n">
        <x:v>0</x:v>
      </x:c>
      <x:c r="M267" s="12" t="n">
        <x:f>IF(H267="Completed",I267*J267*(1-L267),0)</x:f>
        <x:v>0</x:v>
      </x:c>
      <x:c r="N267" s="12" t="n">
        <x:f>IF(H267="Completed",I267*K267,0)</x:f>
        <x:v>0</x:v>
      </x:c>
      <x:c r="O267" s="12" t="n">
        <x:f>M267-N267</x:f>
        <x:v>0</x:v>
      </x:c>
      <x:c r="P267" s="16" t="n">
        <x:f>IFERROR(O267/M267,0)</x:f>
        <x:v>0</x:v>
      </x:c>
      <x:c r="Q267" t="n">
        <x:f>YEAR(B267)</x:f>
        <x:v>2024</x:v>
      </x:c>
      <x:c r="R267" t="str">
        <x:f>TEXT(B267,"yyyy-mm")</x:f>
        <x:v>2024-09</x:v>
      </x:c>
    </x:row>
    <x:row r="268">
      <x:c r="A268" t="n">
        <x:v>10255</x:v>
      </x:c>
      <x:c r="B268" s="10" t="n">
        <x:v>45553</x:v>
      </x:c>
      <x:c r="C268" t="str">
        <x:v>P004</x:v>
      </x:c>
      <x:c r="D268" t="str">
        <x:v>Mouse</x:v>
      </x:c>
      <x:c r="E268" t="str">
        <x:v>Accessories</x:v>
      </x:c>
      <x:c r="F268" t="str">
        <x:v>South</x:v>
      </x:c>
      <x:c r="G268" t="str">
        <x:v>Partner</x:v>
      </x:c>
      <x:c r="H268" t="str">
        <x:v>Completed</x:v>
      </x:c>
      <x:c r="I268" t="n">
        <x:v>3</x:v>
      </x:c>
      <x:c r="J268" s="12" t="n">
        <x:v>27.2</x:v>
      </x:c>
      <x:c r="K268" s="12" t="n">
        <x:v>13.28</x:v>
      </x:c>
      <x:c r="L268" s="14" t="n">
        <x:v>0</x:v>
      </x:c>
      <x:c r="M268" s="12" t="n">
        <x:f>IF(H268="Completed",I268*J268*(1-L268),0)</x:f>
        <x:v>81.6</x:v>
      </x:c>
      <x:c r="N268" s="12" t="n">
        <x:f>IF(H268="Completed",I268*K268,0)</x:f>
        <x:v>39.839999999999996</x:v>
      </x:c>
      <x:c r="O268" s="12" t="n">
        <x:f>M268-N268</x:f>
        <x:v>41.76</x:v>
      </x:c>
      <x:c r="P268" s="16" t="n">
        <x:f>IFERROR(O268/M268,0)</x:f>
        <x:v>0.5117647058823529</x:v>
      </x:c>
      <x:c r="Q268" t="n">
        <x:f>YEAR(B268)</x:f>
        <x:v>2024</x:v>
      </x:c>
      <x:c r="R268" t="str">
        <x:f>TEXT(B268,"yyyy-mm")</x:f>
        <x:v>2024-09</x:v>
      </x:c>
    </x:row>
    <x:row r="269">
      <x:c r="A269" t="n">
        <x:v>10263</x:v>
      </x:c>
      <x:c r="B269" s="10" t="n">
        <x:v>45555</x:v>
      </x:c>
      <x:c r="C269" t="str">
        <x:v>P008</x:v>
      </x:c>
      <x:c r="D269" t="str">
        <x:v>Webcam</x:v>
      </x:c>
      <x:c r="E269" t="str">
        <x:v>Electronics</x:v>
      </x:c>
      <x:c r="F269" t="str">
        <x:v>South</x:v>
      </x:c>
      <x:c r="G269" t="str">
        <x:v>Retail</x:v>
      </x:c>
      <x:c r="H269" t="str">
        <x:v>Completed</x:v>
      </x:c>
      <x:c r="I269" t="n">
        <x:v>4</x:v>
      </x:c>
      <x:c r="J269" s="12" t="n">
        <x:v>87.2</x:v>
      </x:c>
      <x:c r="K269" s="12" t="n">
        <x:v>42.31</x:v>
      </x:c>
      <x:c r="L269" s="14" t="n">
        <x:v>0</x:v>
      </x:c>
      <x:c r="M269" s="12" t="n">
        <x:f>IF(H269="Completed",I269*J269*(1-L269),0)</x:f>
        <x:v>348.8</x:v>
      </x:c>
      <x:c r="N269" s="12" t="n">
        <x:f>IF(H269="Completed",I269*K269,0)</x:f>
        <x:v>169.24</x:v>
      </x:c>
      <x:c r="O269" s="12" t="n">
        <x:f>M269-N269</x:f>
        <x:v>179.56</x:v>
      </x:c>
      <x:c r="P269" s="16" t="n">
        <x:f>IFERROR(O269/M269,0)</x:f>
        <x:v>0.5147935779816514</x:v>
      </x:c>
      <x:c r="Q269" t="n">
        <x:f>YEAR(B269)</x:f>
        <x:v>2024</x:v>
      </x:c>
      <x:c r="R269" t="str">
        <x:f>TEXT(B269,"yyyy-mm")</x:f>
        <x:v>2024-09</x:v>
      </x:c>
    </x:row>
    <x:row r="270">
      <x:c r="A270" t="n">
        <x:v>10236</x:v>
      </x:c>
      <x:c r="B270" s="10" t="n">
        <x:v>45559</x:v>
      </x:c>
      <x:c r="C270" t="str">
        <x:v>P006</x:v>
      </x:c>
      <x:c r="D270" t="str">
        <x:v>Chair</x:v>
      </x:c>
      <x:c r="E270" t="str">
        <x:v>Furniture</x:v>
      </x:c>
      <x:c r="F270" t="str">
        <x:v>North</x:v>
      </x:c>
      <x:c r="G270" t="str">
        <x:v>Online</x:v>
      </x:c>
      <x:c r="H270" t="str">
        <x:v>Completed</x:v>
      </x:c>
      <x:c r="I270" t="n">
        <x:v>2</x:v>
      </x:c>
      <x:c r="J270" s="12" t="n">
        <x:v>134.78</x:v>
      </x:c>
      <x:c r="K270" s="12" t="n">
        <x:v>68.35</x:v>
      </x:c>
      <x:c r="L270" s="14" t="n">
        <x:v>0</x:v>
      </x:c>
      <x:c r="M270" s="12" t="n">
        <x:f>IF(H270="Completed",I270*J270*(1-L270),0)</x:f>
        <x:v>269.56</x:v>
      </x:c>
      <x:c r="N270" s="12" t="n">
        <x:f>IF(H270="Completed",I270*K270,0)</x:f>
        <x:v>136.7</x:v>
      </x:c>
      <x:c r="O270" s="12" t="n">
        <x:f>M270-N270</x:f>
        <x:v>132.86</x:v>
      </x:c>
      <x:c r="P270" s="16" t="n">
        <x:f>IFERROR(O270/M270,0)</x:f>
        <x:v>0.4928772814957709</x:v>
      </x:c>
      <x:c r="Q270" t="n">
        <x:f>YEAR(B270)</x:f>
        <x:v>2024</x:v>
      </x:c>
      <x:c r="R270" t="str">
        <x:f>TEXT(B270,"yyyy-mm")</x:f>
        <x:v>2024-09</x:v>
      </x:c>
    </x:row>
    <x:row r="271">
      <x:c r="A271" t="n">
        <x:v>10385</x:v>
      </x:c>
      <x:c r="B271" s="10" t="n">
        <x:v>45561</x:v>
      </x:c>
      <x:c r="C271" t="str">
        <x:v>P004</x:v>
      </x:c>
      <x:c r="D271" t="str">
        <x:v>Mouse</x:v>
      </x:c>
      <x:c r="E271" t="str">
        <x:v>Accessories</x:v>
      </x:c>
      <x:c r="F271" t="str">
        <x:v>South</x:v>
      </x:c>
      <x:c r="G271" t="str">
        <x:v>Online</x:v>
      </x:c>
      <x:c r="H271" t="str">
        <x:v>Completed</x:v>
      </x:c>
      <x:c r="I271" t="n">
        <x:v>3</x:v>
      </x:c>
      <x:c r="J271" s="12" t="n">
        <x:v>27.45</x:v>
      </x:c>
      <x:c r="K271" s="12" t="n">
        <x:v>13.27</x:v>
      </x:c>
      <x:c r="L271" s="14" t="n">
        <x:v>0</x:v>
      </x:c>
      <x:c r="M271" s="12" t="n">
        <x:f>IF(H271="Completed",I271*J271*(1-L271),0)</x:f>
        <x:v>82.35</x:v>
      </x:c>
      <x:c r="N271" s="12" t="n">
        <x:f>IF(H271="Completed",I271*K271,0)</x:f>
        <x:v>39.81</x:v>
      </x:c>
      <x:c r="O271" s="12" t="n">
        <x:f>M271-N271</x:f>
        <x:v>42.53999999999999</x:v>
      </x:c>
      <x:c r="P271" s="16" t="n">
        <x:f>IFERROR(O271/M271,0)</x:f>
        <x:v>0.516575591985428</x:v>
      </x:c>
      <x:c r="Q271" t="n">
        <x:f>YEAR(B271)</x:f>
        <x:v>2024</x:v>
      </x:c>
      <x:c r="R271" t="str">
        <x:f>TEXT(B271,"yyyy-mm")</x:f>
        <x:v>2024-09</x:v>
      </x:c>
    </x:row>
    <x:row r="272">
      <x:c r="A272" t="n">
        <x:v>10521</x:v>
      </x:c>
      <x:c r="B272" s="10" t="n">
        <x:v>45561</x:v>
      </x:c>
      <x:c r="C272" t="str">
        <x:v>P004</x:v>
      </x:c>
      <x:c r="D272" t="str">
        <x:v>Mouse</x:v>
      </x:c>
      <x:c r="E272" t="str">
        <x:v>Accessories</x:v>
      </x:c>
      <x:c r="F272" t="str">
        <x:v>North</x:v>
      </x:c>
      <x:c r="G272" t="str">
        <x:v>Retail</x:v>
      </x:c>
      <x:c r="H272" t="str">
        <x:v>Completed</x:v>
      </x:c>
      <x:c r="I272" t="n">
        <x:v>3</x:v>
      </x:c>
      <x:c r="J272" s="12" t="n">
        <x:v>27.24</x:v>
      </x:c>
      <x:c r="K272" s="12" t="n">
        <x:v>12.86</x:v>
      </x:c>
      <x:c r="L272" s="14" t="n">
        <x:v>0</x:v>
      </x:c>
      <x:c r="M272" s="12" t="n">
        <x:f>IF(H272="Completed",I272*J272*(1-L272),0)</x:f>
        <x:v>81.72</x:v>
      </x:c>
      <x:c r="N272" s="12" t="n">
        <x:f>IF(H272="Completed",I272*K272,0)</x:f>
        <x:v>38.58</x:v>
      </x:c>
      <x:c r="O272" s="12" t="n">
        <x:f>M272-N272</x:f>
        <x:v>43.14</x:v>
      </x:c>
      <x:c r="P272" s="16" t="n">
        <x:f>IFERROR(O272/M272,0)</x:f>
        <x:v>0.5279001468428781</x:v>
      </x:c>
      <x:c r="Q272" t="n">
        <x:f>YEAR(B272)</x:f>
        <x:v>2024</x:v>
      </x:c>
      <x:c r="R272" t="str">
        <x:f>TEXT(B272,"yyyy-mm")</x:f>
        <x:v>2024-09</x:v>
      </x:c>
    </x:row>
    <x:row r="273">
      <x:c r="A273" t="n">
        <x:v>10867</x:v>
      </x:c>
      <x:c r="B273" s="10" t="n">
        <x:v>45564</x:v>
      </x:c>
      <x:c r="C273" t="str">
        <x:v>P006</x:v>
      </x:c>
      <x:c r="D273" t="str">
        <x:v>Chair</x:v>
      </x:c>
      <x:c r="E273" t="str">
        <x:v>Furniture</x:v>
      </x:c>
      <x:c r="F273" t="str">
        <x:v>Midlands</x:v>
      </x:c>
      <x:c r="G273" t="str">
        <x:v>Retail</x:v>
      </x:c>
      <x:c r="H273" t="str">
        <x:v>Completed</x:v>
      </x:c>
      <x:c r="I273" t="n">
        <x:v>4</x:v>
      </x:c>
      <x:c r="J273" s="12" t="n">
        <x:v>134.94</x:v>
      </x:c>
      <x:c r="K273" s="12" t="n">
        <x:v>67.42</x:v>
      </x:c>
      <x:c r="L273" s="14" t="n">
        <x:v>0.1</x:v>
      </x:c>
      <x:c r="M273" s="12" t="n">
        <x:f>IF(H273="Completed",I273*J273*(1-L273),0)</x:f>
        <x:v>485.784</x:v>
      </x:c>
      <x:c r="N273" s="12" t="n">
        <x:f>IF(H273="Completed",I273*K273,0)</x:f>
        <x:v>269.68</x:v>
      </x:c>
      <x:c r="O273" s="12" t="n">
        <x:f>M273-N273</x:f>
        <x:v>216.10399999999998</x:v>
      </x:c>
      <x:c r="P273" s="16" t="n">
        <x:f>IFERROR(O273/M273,0)</x:f>
        <x:v>0.4448561500584622</x:v>
      </x:c>
      <x:c r="Q273" t="n">
        <x:f>YEAR(B273)</x:f>
        <x:v>2024</x:v>
      </x:c>
      <x:c r="R273" t="str">
        <x:f>TEXT(B273,"yyyy-mm")</x:f>
        <x:v>2024-09</x:v>
      </x:c>
    </x:row>
    <x:row r="274">
      <x:c r="A274" t="n">
        <x:v>10008</x:v>
      </x:c>
      <x:c r="B274" s="10" t="n">
        <x:v>45565</x:v>
      </x:c>
      <x:c r="C274" t="str">
        <x:v>P002</x:v>
      </x:c>
      <x:c r="D274" t="str">
        <x:v>Monitor</x:v>
      </x:c>
      <x:c r="E274" t="str">
        <x:v>Electronics</x:v>
      </x:c>
      <x:c r="F274" t="str">
        <x:v>South</x:v>
      </x:c>
      <x:c r="G274" t="str">
        <x:v>Online</x:v>
      </x:c>
      <x:c r="H274" t="str">
        <x:v>Completed</x:v>
      </x:c>
      <x:c r="I274" t="n">
        <x:v>2</x:v>
      </x:c>
      <x:c r="J274" s="12" t="n">
        <x:v>281.84</x:v>
      </x:c>
      <x:c r="K274" s="12" t="n">
        <x:v>174.47</x:v>
      </x:c>
      <x:c r="L274" s="14" t="n">
        <x:v>0.05</x:v>
      </x:c>
      <x:c r="M274" s="12" t="n">
        <x:f>IF(H274="Completed",I274*J274*(1-L274),0)</x:f>
        <x:v>535.496</x:v>
      </x:c>
      <x:c r="N274" s="12" t="n">
        <x:f>IF(H274="Completed",I274*K274,0)</x:f>
        <x:v>348.94</x:v>
      </x:c>
      <x:c r="O274" s="12" t="n">
        <x:f>M274-N274</x:f>
        <x:v>186.55599999999998</x:v>
      </x:c>
      <x:c r="P274" s="16" t="n">
        <x:f>IFERROR(O274/M274,0)</x:f>
        <x:v>0.34837981983058697</x:v>
      </x:c>
      <x:c r="Q274" t="n">
        <x:f>YEAR(B274)</x:f>
        <x:v>2024</x:v>
      </x:c>
      <x:c r="R274" t="str">
        <x:f>TEXT(B274,"yyyy-mm")</x:f>
        <x:v>2024-09</x:v>
      </x:c>
    </x:row>
    <x:row r="275">
      <x:c r="A275" t="n">
        <x:v>10606</x:v>
      </x:c>
      <x:c r="B275" s="10" t="n">
        <x:v>45565</x:v>
      </x:c>
      <x:c r="C275" t="str">
        <x:v>P004</x:v>
      </x:c>
      <x:c r="D275" t="str">
        <x:v>Mouse</x:v>
      </x:c>
      <x:c r="E275" t="str">
        <x:v>Accessories</x:v>
      </x:c>
      <x:c r="F275" t="str">
        <x:v>North</x:v>
      </x:c>
      <x:c r="G275" t="str">
        <x:v>Online</x:v>
      </x:c>
      <x:c r="H275" t="str">
        <x:v>Completed</x:v>
      </x:c>
      <x:c r="I275" t="n">
        <x:v>2</x:v>
      </x:c>
      <x:c r="J275" s="12" t="n">
        <x:v>27.66</x:v>
      </x:c>
      <x:c r="K275" s="12" t="n">
        <x:v>12.83</x:v>
      </x:c>
      <x:c r="L275" s="14" t="n">
        <x:v>0.15</x:v>
      </x:c>
      <x:c r="M275" s="12" t="n">
        <x:f>IF(H275="Completed",I275*J275*(1-L275),0)</x:f>
        <x:v>47.022</x:v>
      </x:c>
      <x:c r="N275" s="12" t="n">
        <x:f>IF(H275="Completed",I275*K275,0)</x:f>
        <x:v>25.66</x:v>
      </x:c>
      <x:c r="O275" s="12" t="n">
        <x:f>M275-N275</x:f>
        <x:v>21.362</x:v>
      </x:c>
      <x:c r="P275" s="16" t="n">
        <x:f>IFERROR(O275/M275,0)</x:f>
        <x:v>0.4542979881757475</x:v>
      </x:c>
      <x:c r="Q275" t="n">
        <x:f>YEAR(B275)</x:f>
        <x:v>2024</x:v>
      </x:c>
      <x:c r="R275" t="str">
        <x:f>TEXT(B275,"yyyy-mm")</x:f>
        <x:v>2024-09</x:v>
      </x:c>
    </x:row>
    <x:row r="276">
      <x:c r="A276" t="n">
        <x:v>10308</x:v>
      </x:c>
      <x:c r="B276" s="10" t="n">
        <x:v>45566</x:v>
      </x:c>
      <x:c r="C276" t="str">
        <x:v>P006</x:v>
      </x:c>
      <x:c r="D276" t="str">
        <x:v>Chair</x:v>
      </x:c>
      <x:c r="E276" t="str">
        <x:v>Furniture</x:v>
      </x:c>
      <x:c r="F276" t="str">
        <x:v>Scotland</x:v>
      </x:c>
      <x:c r="G276" t="str">
        <x:v>Online</x:v>
      </x:c>
      <x:c r="H276" t="str">
        <x:v>Completed</x:v>
      </x:c>
      <x:c r="I276" t="n">
        <x:v>1</x:v>
      </x:c>
      <x:c r="J276" s="12" t="n">
        <x:v>131.92</x:v>
      </x:c>
      <x:c r="K276" s="12" t="n">
        <x:v>69.46</x:v>
      </x:c>
      <x:c r="L276" s="14" t="n">
        <x:v>0.05</x:v>
      </x:c>
      <x:c r="M276" s="12" t="n">
        <x:f>IF(H276="Completed",I276*J276*(1-L276),0)</x:f>
        <x:v>125.32399999999998</x:v>
      </x:c>
      <x:c r="N276" s="12" t="n">
        <x:f>IF(H276="Completed",I276*K276,0)</x:f>
        <x:v>69.46</x:v>
      </x:c>
      <x:c r="O276" s="12" t="n">
        <x:f>M276-N276</x:f>
        <x:v>55.86399999999999</x:v>
      </x:c>
      <x:c r="P276" s="16" t="n">
        <x:f>IFERROR(O276/M276,0)</x:f>
        <x:v>0.44575659889566244</x:v>
      </x:c>
      <x:c r="Q276" t="n">
        <x:f>YEAR(B276)</x:f>
        <x:v>2024</x:v>
      </x:c>
      <x:c r="R276" t="str">
        <x:f>TEXT(B276,"yyyy-mm")</x:f>
        <x:v>2024-10</x:v>
      </x:c>
    </x:row>
    <x:row r="277">
      <x:c r="A277" t="n">
        <x:v>10531</x:v>
      </x:c>
      <x:c r="B277" s="10" t="n">
        <x:v>45568</x:v>
      </x:c>
      <x:c r="C277" t="str">
        <x:v>P004</x:v>
      </x:c>
      <x:c r="D277" t="str">
        <x:v>Mouse</x:v>
      </x:c>
      <x:c r="E277" t="str">
        <x:v>Accessories</x:v>
      </x:c>
      <x:c r="F277" t="str">
        <x:v>Scotland</x:v>
      </x:c>
      <x:c r="G277" t="str">
        <x:v>Online</x:v>
      </x:c>
      <x:c r="H277" t="str">
        <x:v>Completed</x:v>
      </x:c>
      <x:c r="I277" t="n">
        <x:v>4</x:v>
      </x:c>
      <x:c r="J277" s="12" t="n">
        <x:v>27.71</x:v>
      </x:c>
      <x:c r="K277" s="12" t="n">
        <x:v>12.85</x:v>
      </x:c>
      <x:c r="L277" s="14" t="n">
        <x:v>0.05</x:v>
      </x:c>
      <x:c r="M277" s="12" t="n">
        <x:f>IF(H277="Completed",I277*J277*(1-L277),0)</x:f>
        <x:v>105.298</x:v>
      </x:c>
      <x:c r="N277" s="12" t="n">
        <x:f>IF(H277="Completed",I277*K277,0)</x:f>
        <x:v>51.4</x:v>
      </x:c>
      <x:c r="O277" s="12" t="n">
        <x:f>M277-N277</x:f>
        <x:v>53.898</x:v>
      </x:c>
      <x:c r="P277" s="16" t="n">
        <x:f>IFERROR(O277/M277,0)</x:f>
        <x:v>0.5118615738190659</x:v>
      </x:c>
      <x:c r="Q277" t="n">
        <x:f>YEAR(B277)</x:f>
        <x:v>2024</x:v>
      </x:c>
      <x:c r="R277" t="str">
        <x:f>TEXT(B277,"yyyy-mm")</x:f>
        <x:v>2024-10</x:v>
      </x:c>
    </x:row>
    <x:row r="278">
      <x:c r="A278" t="n">
        <x:v>10704</x:v>
      </x:c>
      <x:c r="B278" s="10" t="n">
        <x:v>45569</x:v>
      </x:c>
      <x:c r="C278" t="str">
        <x:v>P008</x:v>
      </x:c>
      <x:c r="D278" t="str">
        <x:v>Webcam</x:v>
      </x:c>
      <x:c r="E278" t="str">
        <x:v>Electronics</x:v>
      </x:c>
      <x:c r="F278" t="str">
        <x:v>North</x:v>
      </x:c>
      <x:c r="G278" t="str">
        <x:v>Online</x:v>
      </x:c>
      <x:c r="H278" t="str">
        <x:v>Completed</x:v>
      </x:c>
      <x:c r="I278" t="n">
        <x:v>4</x:v>
      </x:c>
      <x:c r="J278" s="12" t="n">
        <x:v>87.45</x:v>
      </x:c>
      <x:c r="K278" s="12" t="n">
        <x:v>42.21</x:v>
      </x:c>
      <x:c r="L278" s="14" t="n">
        <x:v>0.1</x:v>
      </x:c>
      <x:c r="M278" s="12" t="n">
        <x:f>IF(H278="Completed",I278*J278*(1-L278),0)</x:f>
        <x:v>314.82</x:v>
      </x:c>
      <x:c r="N278" s="12" t="n">
        <x:f>IF(H278="Completed",I278*K278,0)</x:f>
        <x:v>168.84</x:v>
      </x:c>
      <x:c r="O278" s="12" t="n">
        <x:f>M278-N278</x:f>
        <x:v>145.98</x:v>
      </x:c>
      <x:c r="P278" s="16" t="n">
        <x:f>IFERROR(O278/M278,0)</x:f>
        <x:v>0.46369353916523726</x:v>
      </x:c>
      <x:c r="Q278" t="n">
        <x:f>YEAR(B278)</x:f>
        <x:v>2024</x:v>
      </x:c>
      <x:c r="R278" t="str">
        <x:f>TEXT(B278,"yyyy-mm")</x:f>
        <x:v>2024-10</x:v>
      </x:c>
    </x:row>
    <x:row r="279">
      <x:c r="A279" t="n">
        <x:v>10637</x:v>
      </x:c>
      <x:c r="B279" s="10" t="n">
        <x:v>45570</x:v>
      </x:c>
      <x:c r="C279" t="str">
        <x:v>P007</x:v>
      </x:c>
      <x:c r="D279" t="str">
        <x:v>Headset</x:v>
      </x:c>
      <x:c r="E279" t="str">
        <x:v>Accessories</x:v>
      </x:c>
      <x:c r="F279" t="str">
        <x:v>South</x:v>
      </x:c>
      <x:c r="G279" t="str">
        <x:v>Online</x:v>
      </x:c>
      <x:c r="H279" t="str">
        <x:v>Completed</x:v>
      </x:c>
      <x:c r="I279" t="n">
        <x:v>1</x:v>
      </x:c>
      <x:c r="J279" s="12" t="n">
        <x:v>70.93</x:v>
      </x:c>
      <x:c r="K279" s="12" t="n">
        <x:v>34.83</x:v>
      </x:c>
      <x:c r="L279" s="14" t="n">
        <x:v>0</x:v>
      </x:c>
      <x:c r="M279" s="12" t="n">
        <x:f>IF(H279="Completed",I279*J279*(1-L279),0)</x:f>
        <x:v>70.93</x:v>
      </x:c>
      <x:c r="N279" s="12" t="n">
        <x:f>IF(H279="Completed",I279*K279,0)</x:f>
        <x:v>34.83</x:v>
      </x:c>
      <x:c r="O279" s="12" t="n">
        <x:f>M279-N279</x:f>
        <x:v>36.10000000000001</x:v>
      </x:c>
      <x:c r="P279" s="16" t="n">
        <x:f>IFERROR(O279/M279,0)</x:f>
        <x:v>0.5089524883688143</x:v>
      </x:c>
      <x:c r="Q279" t="n">
        <x:f>YEAR(B279)</x:f>
        <x:v>2024</x:v>
      </x:c>
      <x:c r="R279" t="str">
        <x:f>TEXT(B279,"yyyy-mm")</x:f>
        <x:v>2024-10</x:v>
      </x:c>
    </x:row>
    <x:row r="280">
      <x:c r="A280" t="n">
        <x:v>10748</x:v>
      </x:c>
      <x:c r="B280" s="10" t="n">
        <x:v>45571</x:v>
      </x:c>
      <x:c r="C280" t="str">
        <x:v>P007</x:v>
      </x:c>
      <x:c r="D280" t="str">
        <x:v>Headset</x:v>
      </x:c>
      <x:c r="E280" t="str">
        <x:v>Accessories</x:v>
      </x:c>
      <x:c r="F280" t="str">
        <x:v>South</x:v>
      </x:c>
      <x:c r="G280" t="str">
        <x:v>Retail</x:v>
      </x:c>
      <x:c r="H280" t="str">
        <x:v>Completed</x:v>
      </x:c>
      <x:c r="I280" t="n">
        <x:v>2</x:v>
      </x:c>
      <x:c r="J280" s="12" t="n">
        <x:v>70.78</x:v>
      </x:c>
      <x:c r="K280" s="12" t="n">
        <x:v>34.97</x:v>
      </x:c>
      <x:c r="L280" s="14" t="n">
        <x:v>0</x:v>
      </x:c>
      <x:c r="M280" s="12" t="n">
        <x:f>IF(H280="Completed",I280*J280*(1-L280),0)</x:f>
        <x:v>141.56</x:v>
      </x:c>
      <x:c r="N280" s="12" t="n">
        <x:f>IF(H280="Completed",I280*K280,0)</x:f>
        <x:v>69.94</x:v>
      </x:c>
      <x:c r="O280" s="12" t="n">
        <x:f>M280-N280</x:f>
        <x:v>71.62</x:v>
      </x:c>
      <x:c r="P280" s="16" t="n">
        <x:f>IFERROR(O280/M280,0)</x:f>
        <x:v>0.5059338796270133</x:v>
      </x:c>
      <x:c r="Q280" t="n">
        <x:f>YEAR(B280)</x:f>
        <x:v>2024</x:v>
      </x:c>
      <x:c r="R280" t="str">
        <x:f>TEXT(B280,"yyyy-mm")</x:f>
        <x:v>2024-10</x:v>
      </x:c>
    </x:row>
    <x:row r="281">
      <x:c r="A281" t="n">
        <x:v>10798</x:v>
      </x:c>
      <x:c r="B281" s="10" t="n">
        <x:v>45571</x:v>
      </x:c>
      <x:c r="C281" t="str">
        <x:v>P003</x:v>
      </x:c>
      <x:c r="D281" t="str">
        <x:v>Keyboard</x:v>
      </x:c>
      <x:c r="E281" t="str">
        <x:v>Accessories</x:v>
      </x:c>
      <x:c r="F281" t="str">
        <x:v>Midlands</x:v>
      </x:c>
      <x:c r="G281" t="str">
        <x:v>Retail</x:v>
      </x:c>
      <x:c r="H281" t="str">
        <x:v>Cancelled</x:v>
      </x:c>
      <x:c r="I281" t="n">
        <x:v>1</x:v>
      </x:c>
      <x:c r="J281" s="12" t="n">
        <x:v>49.74</x:v>
      </x:c>
      <x:c r="K281" s="12" t="n">
        <x:v>25.53</x:v>
      </x:c>
      <x:c r="L281" s="14" t="n">
        <x:v>0</x:v>
      </x:c>
      <x:c r="M281" s="12" t="n">
        <x:f>IF(H281="Completed",I281*J281*(1-L281),0)</x:f>
        <x:v>0</x:v>
      </x:c>
      <x:c r="N281" s="12" t="n">
        <x:f>IF(H281="Completed",I281*K281,0)</x:f>
        <x:v>0</x:v>
      </x:c>
      <x:c r="O281" s="12" t="n">
        <x:f>M281-N281</x:f>
        <x:v>0</x:v>
      </x:c>
      <x:c r="P281" s="16" t="n">
        <x:f>IFERROR(O281/M281,0)</x:f>
        <x:v>0</x:v>
      </x:c>
      <x:c r="Q281" t="n">
        <x:f>YEAR(B281)</x:f>
        <x:v>2024</x:v>
      </x:c>
      <x:c r="R281" t="str">
        <x:f>TEXT(B281,"yyyy-mm")</x:f>
        <x:v>2024-10</x:v>
      </x:c>
    </x:row>
    <x:row r="282">
      <x:c r="A282" t="n">
        <x:v>10701</x:v>
      </x:c>
      <x:c r="B282" s="10" t="n">
        <x:v>45572</x:v>
      </x:c>
      <x:c r="C282" t="str">
        <x:v>P003</x:v>
      </x:c>
      <x:c r="D282" t="str">
        <x:v>Keyboard</x:v>
      </x:c>
      <x:c r="E282" t="str">
        <x:v>Accessories</x:v>
      </x:c>
      <x:c r="F282" t="str">
        <x:v>North</x:v>
      </x:c>
      <x:c r="G282" t="str">
        <x:v>Online</x:v>
      </x:c>
      <x:c r="H282" t="str">
        <x:v>Completed</x:v>
      </x:c>
      <x:c r="I282" t="n">
        <x:v>4</x:v>
      </x:c>
      <x:c r="J282" s="12" t="n">
        <x:v>48.37</x:v>
      </x:c>
      <x:c r="K282" s="12" t="n">
        <x:v>26.24</x:v>
      </x:c>
      <x:c r="L282" s="14" t="n">
        <x:v>0.05</x:v>
      </x:c>
      <x:c r="M282" s="12" t="n">
        <x:f>IF(H282="Completed",I282*J282*(1-L282),0)</x:f>
        <x:v>183.80599999999998</x:v>
      </x:c>
      <x:c r="N282" s="12" t="n">
        <x:f>IF(H282="Completed",I282*K282,0)</x:f>
        <x:v>104.96</x:v>
      </x:c>
      <x:c r="O282" s="12" t="n">
        <x:f>M282-N282</x:f>
        <x:v>78.84599999999999</x:v>
      </x:c>
      <x:c r="P282" s="16" t="n">
        <x:f>IFERROR(O282/M282,0)</x:f>
        <x:v>0.4289631459255954</x:v>
      </x:c>
      <x:c r="Q282" t="n">
        <x:f>YEAR(B282)</x:f>
        <x:v>2024</x:v>
      </x:c>
      <x:c r="R282" t="str">
        <x:f>TEXT(B282,"yyyy-mm")</x:f>
        <x:v>2024-10</x:v>
      </x:c>
    </x:row>
    <x:row r="283">
      <x:c r="A283" t="n">
        <x:v>10115</x:v>
      </x:c>
      <x:c r="B283" s="10" t="n">
        <x:v>45573</x:v>
      </x:c>
      <x:c r="C283" t="str">
        <x:v>P001</x:v>
      </x:c>
      <x:c r="D283" t="str">
        <x:v>Laptop</x:v>
      </x:c>
      <x:c r="E283" t="str">
        <x:v>Electronics</x:v>
      </x:c>
      <x:c r="F283" t="str">
        <x:v>Wales</x:v>
      </x:c>
      <x:c r="G283" t="str">
        <x:v>Retail</x:v>
      </x:c>
      <x:c r="H283" t="str">
        <x:v>Completed</x:v>
      </x:c>
      <x:c r="I283" t="n">
        <x:v>1</x:v>
      </x:c>
      <x:c r="J283" s="12" t="n">
        <x:v>931.49</x:v>
      </x:c>
      <x:c r="K283" s="12" t="n">
        <x:v>618.52</x:v>
      </x:c>
      <x:c r="L283" s="14" t="n">
        <x:v>0</x:v>
      </x:c>
      <x:c r="M283" s="12" t="n">
        <x:f>IF(H283="Completed",I283*J283*(1-L283),0)</x:f>
        <x:v>931.49</x:v>
      </x:c>
      <x:c r="N283" s="12" t="n">
        <x:f>IF(H283="Completed",I283*K283,0)</x:f>
        <x:v>618.52</x:v>
      </x:c>
      <x:c r="O283" s="12" t="n">
        <x:f>M283-N283</x:f>
        <x:v>312.97</x:v>
      </x:c>
      <x:c r="P283" s="16" t="n">
        <x:f>IFERROR(O283/M283,0)</x:f>
        <x:v>0.3359885774404449</x:v>
      </x:c>
      <x:c r="Q283" t="n">
        <x:f>YEAR(B283)</x:f>
        <x:v>2024</x:v>
      </x:c>
      <x:c r="R283" t="str">
        <x:f>TEXT(B283,"yyyy-mm")</x:f>
        <x:v>2024-10</x:v>
      </x:c>
    </x:row>
    <x:row r="284">
      <x:c r="A284" t="n">
        <x:v>10671</x:v>
      </x:c>
      <x:c r="B284" s="10" t="n">
        <x:v>45573</x:v>
      </x:c>
      <x:c r="C284" t="str">
        <x:v>P005</x:v>
      </x:c>
      <x:c r="D284" t="str">
        <x:v>Desk</x:v>
      </x:c>
      <x:c r="E284" t="str">
        <x:v>Furniture</x:v>
      </x:c>
      <x:c r="F284" t="str">
        <x:v>Scotland</x:v>
      </x:c>
      <x:c r="G284" t="str">
        <x:v>Retail</x:v>
      </x:c>
      <x:c r="H284" t="str">
        <x:v>Cancelled</x:v>
      </x:c>
      <x:c r="I284" t="n">
        <x:v>1</x:v>
      </x:c>
      <x:c r="J284" s="12" t="n">
        <x:v>269.66</x:v>
      </x:c>
      <x:c r="K284" s="12" t="n">
        <x:v>155.36</x:v>
      </x:c>
      <x:c r="L284" s="14" t="n">
        <x:v>0.15</x:v>
      </x:c>
      <x:c r="M284" s="12" t="n">
        <x:f>IF(H284="Completed",I284*J284*(1-L284),0)</x:f>
        <x:v>0</x:v>
      </x:c>
      <x:c r="N284" s="12" t="n">
        <x:f>IF(H284="Completed",I284*K284,0)</x:f>
        <x:v>0</x:v>
      </x:c>
      <x:c r="O284" s="12" t="n">
        <x:f>M284-N284</x:f>
        <x:v>0</x:v>
      </x:c>
      <x:c r="P284" s="16" t="n">
        <x:f>IFERROR(O284/M284,0)</x:f>
        <x:v>0</x:v>
      </x:c>
      <x:c r="Q284" t="n">
        <x:f>YEAR(B284)</x:f>
        <x:v>2024</x:v>
      </x:c>
      <x:c r="R284" t="str">
        <x:f>TEXT(B284,"yyyy-mm")</x:f>
        <x:v>2024-10</x:v>
      </x:c>
    </x:row>
    <x:row r="285">
      <x:c r="A285" t="n">
        <x:v>10093</x:v>
      </x:c>
      <x:c r="B285" s="10" t="n">
        <x:v>45576</x:v>
      </x:c>
      <x:c r="C285" t="str">
        <x:v>P003</x:v>
      </x:c>
      <x:c r="D285" t="str">
        <x:v>Keyboard</x:v>
      </x:c>
      <x:c r="E285" t="str">
        <x:v>Accessories</x:v>
      </x:c>
      <x:c r="F285" t="str">
        <x:v>South</x:v>
      </x:c>
      <x:c r="G285" t="str">
        <x:v>Online</x:v>
      </x:c>
      <x:c r="H285" t="str">
        <x:v>Completed</x:v>
      </x:c>
      <x:c r="I285" t="n">
        <x:v>4</x:v>
      </x:c>
      <x:c r="J285" s="12" t="n">
        <x:v>48.72</x:v>
      </x:c>
      <x:c r="K285" s="12" t="n">
        <x:v>25.91</x:v>
      </x:c>
      <x:c r="L285" s="14" t="n">
        <x:v>0.05</x:v>
      </x:c>
      <x:c r="M285" s="12" t="n">
        <x:f>IF(H285="Completed",I285*J285*(1-L285),0)</x:f>
        <x:v>185.136</x:v>
      </x:c>
      <x:c r="N285" s="12" t="n">
        <x:f>IF(H285="Completed",I285*K285,0)</x:f>
        <x:v>103.64</x:v>
      </x:c>
      <x:c r="O285" s="12" t="n">
        <x:f>M285-N285</x:f>
        <x:v>81.496</x:v>
      </x:c>
      <x:c r="P285" s="16" t="n">
        <x:f>IFERROR(O285/M285,0)</x:f>
        <x:v>0.4401953158758966</x:v>
      </x:c>
      <x:c r="Q285" t="n">
        <x:f>YEAR(B285)</x:f>
        <x:v>2024</x:v>
      </x:c>
      <x:c r="R285" t="str">
        <x:f>TEXT(B285,"yyyy-mm")</x:f>
        <x:v>2024-10</x:v>
      </x:c>
    </x:row>
    <x:row r="286">
      <x:c r="A286" t="n">
        <x:v>10222</x:v>
      </x:c>
      <x:c r="B286" s="10" t="n">
        <x:v>45577</x:v>
      </x:c>
      <x:c r="C286" t="str">
        <x:v>P005</x:v>
      </x:c>
      <x:c r="D286" t="str">
        <x:v>Desk</x:v>
      </x:c>
      <x:c r="E286" t="str">
        <x:v>Furniture</x:v>
      </x:c>
      <x:c r="F286" t="str">
        <x:v>Wales</x:v>
      </x:c>
      <x:c r="G286" t="str">
        <x:v>Partner</x:v>
      </x:c>
      <x:c r="H286" t="str">
        <x:v>Completed</x:v>
      </x:c>
      <x:c r="I286" t="n">
        <x:v>2</x:v>
      </x:c>
      <x:c r="J286" s="12" t="n">
        <x:v>270.74</x:v>
      </x:c>
      <x:c r="K286" s="12" t="n">
        <x:v>157.36</x:v>
      </x:c>
      <x:c r="L286" s="14" t="n">
        <x:v>0.15</x:v>
      </x:c>
      <x:c r="M286" s="12" t="n">
        <x:f>IF(H286="Completed",I286*J286*(1-L286),0)</x:f>
        <x:v>460.258</x:v>
      </x:c>
      <x:c r="N286" s="12" t="n">
        <x:f>IF(H286="Completed",I286*K286,0)</x:f>
        <x:v>314.72</x:v>
      </x:c>
      <x:c r="O286" s="12" t="n">
        <x:f>M286-N286</x:f>
        <x:v>145.53799999999995</x:v>
      </x:c>
      <x:c r="P286" s="16" t="n">
        <x:f>IFERROR(O286/M286,0)</x:f>
        <x:v>0.3162096041785259</x:v>
      </x:c>
      <x:c r="Q286" t="n">
        <x:f>YEAR(B286)</x:f>
        <x:v>2024</x:v>
      </x:c>
      <x:c r="R286" t="str">
        <x:f>TEXT(B286,"yyyy-mm")</x:f>
        <x:v>2024-10</x:v>
      </x:c>
    </x:row>
    <x:row r="287">
      <x:c r="A287" t="n">
        <x:v>10716</x:v>
      </x:c>
      <x:c r="B287" s="10" t="n">
        <x:v>45577</x:v>
      </x:c>
      <x:c r="C287" t="str">
        <x:v>P001</x:v>
      </x:c>
      <x:c r="D287" t="str">
        <x:v>Laptop</x:v>
      </x:c>
      <x:c r="E287" t="str">
        <x:v>Electronics</x:v>
      </x:c>
      <x:c r="F287" t="str">
        <x:v>South</x:v>
      </x:c>
      <x:c r="G287" t="str">
        <x:v>Online</x:v>
      </x:c>
      <x:c r="H287" t="str">
        <x:v>Completed</x:v>
      </x:c>
      <x:c r="I287" t="n">
        <x:v>4</x:v>
      </x:c>
      <x:c r="J287" s="12" t="n">
        <x:v>929.72</x:v>
      </x:c>
      <x:c r="K287" s="12" t="n">
        <x:v>635.25</x:v>
      </x:c>
      <x:c r="L287" s="14" t="n">
        <x:v>0.05</x:v>
      </x:c>
      <x:c r="M287" s="12" t="n">
        <x:f>IF(H287="Completed",I287*J287*(1-L287),0)</x:f>
        <x:v>3532.936</x:v>
      </x:c>
      <x:c r="N287" s="12" t="n">
        <x:f>IF(H287="Completed",I287*K287,0)</x:f>
        <x:v>2541</x:v>
      </x:c>
      <x:c r="O287" s="12" t="n">
        <x:f>M287-N287</x:f>
        <x:v>991.9360000000001</x:v>
      </x:c>
      <x:c r="P287" s="16" t="n">
        <x:f>IFERROR(O287/M287,0)</x:f>
        <x:v>0.28076817694970985</x:v>
      </x:c>
      <x:c r="Q287" t="n">
        <x:f>YEAR(B287)</x:f>
        <x:v>2024</x:v>
      </x:c>
      <x:c r="R287" t="str">
        <x:f>TEXT(B287,"yyyy-mm")</x:f>
        <x:v>2024-10</x:v>
      </x:c>
    </x:row>
    <x:row r="288">
      <x:c r="A288" t="n">
        <x:v>10343</x:v>
      </x:c>
      <x:c r="B288" s="10" t="n">
        <x:v>45581</x:v>
      </x:c>
      <x:c r="C288" t="str">
        <x:v>P005</x:v>
      </x:c>
      <x:c r="D288" t="str">
        <x:v>Desk</x:v>
      </x:c>
      <x:c r="E288" t="str">
        <x:v>Furniture</x:v>
      </x:c>
      <x:c r="F288" t="str">
        <x:v>North</x:v>
      </x:c>
      <x:c r="G288" t="str">
        <x:v>Online</x:v>
      </x:c>
      <x:c r="H288" t="str">
        <x:v>Completed</x:v>
      </x:c>
      <x:c r="I288" t="n">
        <x:v>3</x:v>
      </x:c>
      <x:c r="J288" s="12" t="n">
        <x:v>272.36</x:v>
      </x:c>
      <x:c r="K288" s="12" t="n">
        <x:v>157.98</x:v>
      </x:c>
      <x:c r="L288" s="14" t="n">
        <x:v>0</x:v>
      </x:c>
      <x:c r="M288" s="12" t="n">
        <x:f>IF(H288="Completed",I288*J288*(1-L288),0)</x:f>
        <x:v>817.08</x:v>
      </x:c>
      <x:c r="N288" s="12" t="n">
        <x:f>IF(H288="Completed",I288*K288,0)</x:f>
        <x:v>473.93999999999994</x:v>
      </x:c>
      <x:c r="O288" s="12" t="n">
        <x:f>M288-N288</x:f>
        <x:v>343.1400000000001</x:v>
      </x:c>
      <x:c r="P288" s="16" t="n">
        <x:f>IFERROR(O288/M288,0)</x:f>
        <x:v>0.419958877955647</x:v>
      </x:c>
      <x:c r="Q288" t="n">
        <x:f>YEAR(B288)</x:f>
        <x:v>2024</x:v>
      </x:c>
      <x:c r="R288" t="str">
        <x:f>TEXT(B288,"yyyy-mm")</x:f>
        <x:v>2024-10</x:v>
      </x:c>
    </x:row>
    <x:row r="289">
      <x:c r="A289" t="n">
        <x:v>10318</x:v>
      </x:c>
      <x:c r="B289" s="10" t="n">
        <x:v>45582</x:v>
      </x:c>
      <x:c r="C289" t="str">
        <x:v>P006</x:v>
      </x:c>
      <x:c r="D289" t="str">
        <x:v>Chair</x:v>
      </x:c>
      <x:c r="E289" t="str">
        <x:v>Furniture</x:v>
      </x:c>
      <x:c r="F289" t="str">
        <x:v>South</x:v>
      </x:c>
      <x:c r="G289" t="str">
        <x:v>Online</x:v>
      </x:c>
      <x:c r="H289" t="str">
        <x:v>Completed</x:v>
      </x:c>
      <x:c r="I289" t="n">
        <x:v>2</x:v>
      </x:c>
      <x:c r="J289" s="12" t="n">
        <x:v>138.15</x:v>
      </x:c>
      <x:c r="K289" s="12" t="n">
        <x:v>66.8</x:v>
      </x:c>
      <x:c r="L289" s="14" t="n">
        <x:v>0.15</x:v>
      </x:c>
      <x:c r="M289" s="12" t="n">
        <x:f>IF(H289="Completed",I289*J289*(1-L289),0)</x:f>
        <x:v>234.855</x:v>
      </x:c>
      <x:c r="N289" s="12" t="n">
        <x:f>IF(H289="Completed",I289*K289,0)</x:f>
        <x:v>133.6</x:v>
      </x:c>
      <x:c r="O289" s="12" t="n">
        <x:f>M289-N289</x:f>
        <x:v>101.255</x:v>
      </x:c>
      <x:c r="P289" s="16" t="n">
        <x:f>IFERROR(O289/M289,0)</x:f>
        <x:v>0.4311383619680228</x:v>
      </x:c>
      <x:c r="Q289" t="n">
        <x:f>YEAR(B289)</x:f>
        <x:v>2024</x:v>
      </x:c>
      <x:c r="R289" t="str">
        <x:f>TEXT(B289,"yyyy-mm")</x:f>
        <x:v>2024-10</x:v>
      </x:c>
    </x:row>
    <x:row r="290">
      <x:c r="A290" t="n">
        <x:v>10770</x:v>
      </x:c>
      <x:c r="B290" s="10" t="n">
        <x:v>45582</x:v>
      </x:c>
      <x:c r="C290" t="str">
        <x:v>P008</x:v>
      </x:c>
      <x:c r="D290" t="str">
        <x:v>Webcam</x:v>
      </x:c>
      <x:c r="E290" t="str">
        <x:v>Electronics</x:v>
      </x:c>
      <x:c r="F290" t="str">
        <x:v>South</x:v>
      </x:c>
      <x:c r="G290" t="str">
        <x:v>Retail</x:v>
      </x:c>
      <x:c r="H290" t="str">
        <x:v>Completed</x:v>
      </x:c>
      <x:c r="I290" t="n">
        <x:v>3</x:v>
      </x:c>
      <x:c r="J290" s="12" t="n">
        <x:v>88.87</x:v>
      </x:c>
      <x:c r="K290" s="12" t="n">
        <x:v>43.23</x:v>
      </x:c>
      <x:c r="L290" s="14" t="n">
        <x:v>0.1</x:v>
      </x:c>
      <x:c r="M290" s="12" t="n">
        <x:f>IF(H290="Completed",I290*J290*(1-L290),0)</x:f>
        <x:v>239.949</x:v>
      </x:c>
      <x:c r="N290" s="12" t="n">
        <x:f>IF(H290="Completed",I290*K290,0)</x:f>
        <x:v>129.69</x:v>
      </x:c>
      <x:c r="O290" s="12" t="n">
        <x:f>M290-N290</x:f>
        <x:v>110.25900000000001</x:v>
      </x:c>
      <x:c r="P290" s="16" t="n">
        <x:f>IFERROR(O290/M290,0)</x:f>
        <x:v>0.4595101459060051</x:v>
      </x:c>
      <x:c r="Q290" t="n">
        <x:f>YEAR(B290)</x:f>
        <x:v>2024</x:v>
      </x:c>
      <x:c r="R290" t="str">
        <x:f>TEXT(B290,"yyyy-mm")</x:f>
        <x:v>2024-10</x:v>
      </x:c>
    </x:row>
    <x:row r="291">
      <x:c r="A291" t="n">
        <x:v>10735</x:v>
      </x:c>
      <x:c r="B291" s="10" t="n">
        <x:v>45584</x:v>
      </x:c>
      <x:c r="C291" t="str">
        <x:v>P003</x:v>
      </x:c>
      <x:c r="D291" t="str">
        <x:v>Keyboard</x:v>
      </x:c>
      <x:c r="E291" t="str">
        <x:v>Accessories</x:v>
      </x:c>
      <x:c r="F291" t="str">
        <x:v>Scotland</x:v>
      </x:c>
      <x:c r="G291" t="str">
        <x:v>Retail</x:v>
      </x:c>
      <x:c r="H291" t="str">
        <x:v>Completed</x:v>
      </x:c>
      <x:c r="I291" t="n">
        <x:v>2</x:v>
      </x:c>
      <x:c r="J291" s="12" t="n">
        <x:v>48.35</x:v>
      </x:c>
      <x:c r="K291" s="12" t="n">
        <x:v>25.53</x:v>
      </x:c>
      <x:c r="L291" s="14" t="n">
        <x:v>0</x:v>
      </x:c>
      <x:c r="M291" s="12" t="n">
        <x:f>IF(H291="Completed",I291*J291*(1-L291),0)</x:f>
        <x:v>96.7</x:v>
      </x:c>
      <x:c r="N291" s="12" t="n">
        <x:f>IF(H291="Completed",I291*K291,0)</x:f>
        <x:v>51.06</x:v>
      </x:c>
      <x:c r="O291" s="12" t="n">
        <x:f>M291-N291</x:f>
        <x:v>45.64</x:v>
      </x:c>
      <x:c r="P291" s="16" t="n">
        <x:f>IFERROR(O291/M291,0)</x:f>
        <x:v>0.4719751809720786</x:v>
      </x:c>
      <x:c r="Q291" t="n">
        <x:f>YEAR(B291)</x:f>
        <x:v>2024</x:v>
      </x:c>
      <x:c r="R291" t="str">
        <x:f>TEXT(B291,"yyyy-mm")</x:f>
        <x:v>2024-10</x:v>
      </x:c>
    </x:row>
    <x:row r="292">
      <x:c r="A292" t="n">
        <x:v>10856</x:v>
      </x:c>
      <x:c r="B292" s="10" t="n">
        <x:v>45586</x:v>
      </x:c>
      <x:c r="C292" t="str">
        <x:v>P004</x:v>
      </x:c>
      <x:c r="D292" t="str">
        <x:v>Mouse</x:v>
      </x:c>
      <x:c r="E292" t="str">
        <x:v>Accessories</x:v>
      </x:c>
      <x:c r="F292" t="str">
        <x:v>Midlands</x:v>
      </x:c>
      <x:c r="G292" t="str">
        <x:v>Online</x:v>
      </x:c>
      <x:c r="H292" t="str">
        <x:v>Completed</x:v>
      </x:c>
      <x:c r="I292" t="n">
        <x:v>4</x:v>
      </x:c>
      <x:c r="J292" s="12" t="n">
        <x:v>27.91</x:v>
      </x:c>
      <x:c r="K292" s="12" t="n">
        <x:v>12.96</x:v>
      </x:c>
      <x:c r="L292" s="14" t="n">
        <x:v>0.1</x:v>
      </x:c>
      <x:c r="M292" s="12" t="n">
        <x:f>IF(H292="Completed",I292*J292*(1-L292),0)</x:f>
        <x:v>100.476</x:v>
      </x:c>
      <x:c r="N292" s="12" t="n">
        <x:f>IF(H292="Completed",I292*K292,0)</x:f>
        <x:v>51.84</x:v>
      </x:c>
      <x:c r="O292" s="12" t="n">
        <x:f>M292-N292</x:f>
        <x:v>48.635999999999996</x:v>
      </x:c>
      <x:c r="P292" s="16" t="n">
        <x:f>IFERROR(O292/M292,0)</x:f>
        <x:v>0.4840558939448226</x:v>
      </x:c>
      <x:c r="Q292" t="n">
        <x:f>YEAR(B292)</x:f>
        <x:v>2024</x:v>
      </x:c>
      <x:c r="R292" t="str">
        <x:f>TEXT(B292,"yyyy-mm")</x:f>
        <x:v>2024-10</x:v>
      </x:c>
    </x:row>
    <x:row r="293">
      <x:c r="A293" t="n">
        <x:v>10929</x:v>
      </x:c>
      <x:c r="B293" s="10" t="n">
        <x:v>45590</x:v>
      </x:c>
      <x:c r="C293" t="str">
        <x:v>P006</x:v>
      </x:c>
      <x:c r="D293" t="str">
        <x:v>Chair</x:v>
      </x:c>
      <x:c r="E293" t="str">
        <x:v>Furniture</x:v>
      </x:c>
      <x:c r="F293" t="str">
        <x:v>South</x:v>
      </x:c>
      <x:c r="G293" t="str">
        <x:v>Retail</x:v>
      </x:c>
      <x:c r="H293" t="str">
        <x:v>Completed</x:v>
      </x:c>
      <x:c r="I293" t="n">
        <x:v>1</x:v>
      </x:c>
      <x:c r="J293" s="12" t="n">
        <x:v>133.19</x:v>
      </x:c>
      <x:c r="K293" s="12" t="n">
        <x:v>69.43</x:v>
      </x:c>
      <x:c r="L293" s="14" t="n">
        <x:v>0</x:v>
      </x:c>
      <x:c r="M293" s="12" t="n">
        <x:f>IF(H293="Completed",I293*J293*(1-L293),0)</x:f>
        <x:v>133.19</x:v>
      </x:c>
      <x:c r="N293" s="12" t="n">
        <x:f>IF(H293="Completed",I293*K293,0)</x:f>
        <x:v>69.43</x:v>
      </x:c>
      <x:c r="O293" s="12" t="n">
        <x:f>M293-N293</x:f>
        <x:v>63.75999999999999</x:v>
      </x:c>
      <x:c r="P293" s="16" t="n">
        <x:f>IFERROR(O293/M293,0)</x:f>
        <x:v>0.4787146182145806</x:v>
      </x:c>
      <x:c r="Q293" t="n">
        <x:f>YEAR(B293)</x:f>
        <x:v>2024</x:v>
      </x:c>
      <x:c r="R293" t="str">
        <x:f>TEXT(B293,"yyyy-mm")</x:f>
        <x:v>2024-10</x:v>
      </x:c>
    </x:row>
    <x:row r="294">
      <x:c r="A294" t="n">
        <x:v>10865</x:v>
      </x:c>
      <x:c r="B294" s="10" t="n">
        <x:v>45591</x:v>
      </x:c>
      <x:c r="C294" t="str">
        <x:v>P008</x:v>
      </x:c>
      <x:c r="D294" t="str">
        <x:v>Webcam</x:v>
      </x:c>
      <x:c r="E294" t="str">
        <x:v>Electronics</x:v>
      </x:c>
      <x:c r="F294" t="str">
        <x:v>South</x:v>
      </x:c>
      <x:c r="G294" t="str">
        <x:v>Online</x:v>
      </x:c>
      <x:c r="H294" t="str">
        <x:v>Completed</x:v>
      </x:c>
      <x:c r="I294" t="n">
        <x:v>4</x:v>
      </x:c>
      <x:c r="J294" s="12" t="n">
        <x:v>91.43</x:v>
      </x:c>
      <x:c r="K294" s="12" t="n">
        <x:v>41.42</x:v>
      </x:c>
      <x:c r="L294" s="14" t="n">
        <x:v>0</x:v>
      </x:c>
      <x:c r="M294" s="12" t="n">
        <x:f>IF(H294="Completed",I294*J294*(1-L294),0)</x:f>
        <x:v>365.72</x:v>
      </x:c>
      <x:c r="N294" s="12" t="n">
        <x:f>IF(H294="Completed",I294*K294,0)</x:f>
        <x:v>165.68</x:v>
      </x:c>
      <x:c r="O294" s="12" t="n">
        <x:f>M294-N294</x:f>
        <x:v>200.04000000000002</x:v>
      </x:c>
      <x:c r="P294" s="16" t="n">
        <x:f>IFERROR(O294/M294,0)</x:f>
        <x:v>0.5469758285026797</x:v>
      </x:c>
      <x:c r="Q294" t="n">
        <x:f>YEAR(B294)</x:f>
        <x:v>2024</x:v>
      </x:c>
      <x:c r="R294" t="str">
        <x:f>TEXT(B294,"yyyy-mm")</x:f>
        <x:v>2024-10</x:v>
      </x:c>
    </x:row>
    <x:row r="295">
      <x:c r="A295" t="n">
        <x:v>10014</x:v>
      </x:c>
      <x:c r="B295" s="10" t="n">
        <x:v>45592</x:v>
      </x:c>
      <x:c r="C295" t="str">
        <x:v>P007</x:v>
      </x:c>
      <x:c r="D295" t="str">
        <x:v>Headset</x:v>
      </x:c>
      <x:c r="E295" t="str">
        <x:v>Accessories</x:v>
      </x:c>
      <x:c r="F295" t="str">
        <x:v>Midlands</x:v>
      </x:c>
      <x:c r="G295" t="str">
        <x:v>Partner</x:v>
      </x:c>
      <x:c r="H295" t="str">
        <x:v>Completed</x:v>
      </x:c>
      <x:c r="I295" t="n">
        <x:v>2</x:v>
      </x:c>
      <x:c r="J295" s="12" t="n">
        <x:v>73.68</x:v>
      </x:c>
      <x:c r="K295" s="12" t="n">
        <x:v>35.19</x:v>
      </x:c>
      <x:c r="L295" s="14" t="n">
        <x:v>0.1</x:v>
      </x:c>
      <x:c r="M295" s="12" t="n">
        <x:f>IF(H295="Completed",I295*J295*(1-L295),0)</x:f>
        <x:v>132.62400000000002</x:v>
      </x:c>
      <x:c r="N295" s="12" t="n">
        <x:f>IF(H295="Completed",I295*K295,0)</x:f>
        <x:v>70.38</x:v>
      </x:c>
      <x:c r="O295" s="12" t="n">
        <x:f>M295-N295</x:f>
        <x:v>62.24400000000003</x:v>
      </x:c>
      <x:c r="P295" s="16" t="n">
        <x:f>IFERROR(O295/M295,0)</x:f>
        <x:v>0.46932681867535303</x:v>
      </x:c>
      <x:c r="Q295" t="n">
        <x:f>YEAR(B295)</x:f>
        <x:v>2024</x:v>
      </x:c>
      <x:c r="R295" t="str">
        <x:f>TEXT(B295,"yyyy-mm")</x:f>
        <x:v>2024-10</x:v>
      </x:c>
    </x:row>
    <x:row r="296">
      <x:c r="A296" t="n">
        <x:v>10451</x:v>
      </x:c>
      <x:c r="B296" s="10" t="n">
        <x:v>45593</x:v>
      </x:c>
      <x:c r="C296" t="str">
        <x:v>P008</x:v>
      </x:c>
      <x:c r="D296" t="str">
        <x:v>Webcam</x:v>
      </x:c>
      <x:c r="E296" t="str">
        <x:v>Electronics</x:v>
      </x:c>
      <x:c r="F296" t="str">
        <x:v>North</x:v>
      </x:c>
      <x:c r="G296" t="str">
        <x:v>Retail</x:v>
      </x:c>
      <x:c r="H296" t="str">
        <x:v>Cancelled</x:v>
      </x:c>
      <x:c r="I296" t="n">
        <x:v>2</x:v>
      </x:c>
      <x:c r="J296" s="12" t="n">
        <x:v>91.58</x:v>
      </x:c>
      <x:c r="K296" s="12" t="n">
        <x:v>42.31</x:v>
      </x:c>
      <x:c r="L296" s="14" t="n">
        <x:v>0</x:v>
      </x:c>
      <x:c r="M296" s="12" t="n">
        <x:f>IF(H296="Completed",I296*J296*(1-L296),0)</x:f>
        <x:v>0</x:v>
      </x:c>
      <x:c r="N296" s="12" t="n">
        <x:f>IF(H296="Completed",I296*K296,0)</x:f>
        <x:v>0</x:v>
      </x:c>
      <x:c r="O296" s="12" t="n">
        <x:f>M296-N296</x:f>
        <x:v>0</x:v>
      </x:c>
      <x:c r="P296" s="16" t="n">
        <x:f>IFERROR(O296/M296,0)</x:f>
        <x:v>0</x:v>
      </x:c>
      <x:c r="Q296" t="n">
        <x:f>YEAR(B296)</x:f>
        <x:v>2024</x:v>
      </x:c>
      <x:c r="R296" t="str">
        <x:f>TEXT(B296,"yyyy-mm")</x:f>
        <x:v>2024-10</x:v>
      </x:c>
    </x:row>
    <x:row r="297">
      <x:c r="A297" t="n">
        <x:v>10940</x:v>
      </x:c>
      <x:c r="B297" s="10" t="n">
        <x:v>45593</x:v>
      </x:c>
      <x:c r="C297" t="str">
        <x:v>P003</x:v>
      </x:c>
      <x:c r="D297" t="str">
        <x:v>Keyboard</x:v>
      </x:c>
      <x:c r="E297" t="str">
        <x:v>Accessories</x:v>
      </x:c>
      <x:c r="F297" t="str">
        <x:v>Midlands</x:v>
      </x:c>
      <x:c r="G297" t="str">
        <x:v>Retail</x:v>
      </x:c>
      <x:c r="H297" t="str">
        <x:v>Completed</x:v>
      </x:c>
      <x:c r="I297" t="n">
        <x:v>3</x:v>
      </x:c>
      <x:c r="J297" s="12" t="n">
        <x:v>50.45</x:v>
      </x:c>
      <x:c r="K297" s="12" t="n">
        <x:v>26.74</x:v>
      </x:c>
      <x:c r="L297" s="14" t="n">
        <x:v>0</x:v>
      </x:c>
      <x:c r="M297" s="12" t="n">
        <x:f>IF(H297="Completed",I297*J297*(1-L297),0)</x:f>
        <x:v>151.35000000000002</x:v>
      </x:c>
      <x:c r="N297" s="12" t="n">
        <x:f>IF(H297="Completed",I297*K297,0)</x:f>
        <x:v>80.22</x:v>
      </x:c>
      <x:c r="O297" s="12" t="n">
        <x:f>M297-N297</x:f>
        <x:v>71.13000000000002</x:v>
      </x:c>
      <x:c r="P297" s="16" t="n">
        <x:f>IFERROR(O297/M297,0)</x:f>
        <x:v>0.46997026759167504</x:v>
      </x:c>
      <x:c r="Q297" t="n">
        <x:f>YEAR(B297)</x:f>
        <x:v>2024</x:v>
      </x:c>
      <x:c r="R297" t="str">
        <x:f>TEXT(B297,"yyyy-mm")</x:f>
        <x:v>2024-10</x:v>
      </x:c>
    </x:row>
    <x:row r="298">
      <x:c r="A298" t="n">
        <x:v>10565</x:v>
      </x:c>
      <x:c r="B298" s="10" t="n">
        <x:v>45594</x:v>
      </x:c>
      <x:c r="C298" t="str">
        <x:v>P005</x:v>
      </x:c>
      <x:c r="D298" t="str">
        <x:v>Desk</x:v>
      </x:c>
      <x:c r="E298" t="str">
        <x:v>Furniture</x:v>
      </x:c>
      <x:c r="F298" t="str">
        <x:v>Midlands</x:v>
      </x:c>
      <x:c r="G298" t="str">
        <x:v>Retail</x:v>
      </x:c>
      <x:c r="H298" t="str">
        <x:v>Cancelled</x:v>
      </x:c>
      <x:c r="I298" t="n">
        <x:v>3</x:v>
      </x:c>
      <x:c r="J298" s="12" t="n">
        <x:v>280.87</x:v>
      </x:c>
      <x:c r="K298" s="12" t="n">
        <x:v>158.74</x:v>
      </x:c>
      <x:c r="L298" s="14" t="n">
        <x:v>0.05</x:v>
      </x:c>
      <x:c r="M298" s="12" t="n">
        <x:f>IF(H298="Completed",I298*J298*(1-L298),0)</x:f>
        <x:v>0</x:v>
      </x:c>
      <x:c r="N298" s="12" t="n">
        <x:f>IF(H298="Completed",I298*K298,0)</x:f>
        <x:v>0</x:v>
      </x:c>
      <x:c r="O298" s="12" t="n">
        <x:f>M298-N298</x:f>
        <x:v>0</x:v>
      </x:c>
      <x:c r="P298" s="16" t="n">
        <x:f>IFERROR(O298/M298,0)</x:f>
        <x:v>0</x:v>
      </x:c>
      <x:c r="Q298" t="n">
        <x:f>YEAR(B298)</x:f>
        <x:v>2024</x:v>
      </x:c>
      <x:c r="R298" t="str">
        <x:f>TEXT(B298,"yyyy-mm")</x:f>
        <x:v>2024-10</x:v>
      </x:c>
    </x:row>
    <x:row r="299">
      <x:c r="A299" t="n">
        <x:v>10790</x:v>
      </x:c>
      <x:c r="B299" s="10" t="n">
        <x:v>45596</x:v>
      </x:c>
      <x:c r="C299" t="str">
        <x:v>P007</x:v>
      </x:c>
      <x:c r="D299" t="str">
        <x:v>Headset</x:v>
      </x:c>
      <x:c r="E299" t="str">
        <x:v>Accessories</x:v>
      </x:c>
      <x:c r="F299" t="str">
        <x:v>South</x:v>
      </x:c>
      <x:c r="G299" t="str">
        <x:v>Partner</x:v>
      </x:c>
      <x:c r="H299" t="str">
        <x:v>Cancelled</x:v>
      </x:c>
      <x:c r="I299" t="n">
        <x:v>2</x:v>
      </x:c>
      <x:c r="J299" s="12" t="n">
        <x:v>72.82</x:v>
      </x:c>
      <x:c r="K299" s="12" t="n">
        <x:v>34.78</x:v>
      </x:c>
      <x:c r="L299" s="14" t="n">
        <x:v>0</x:v>
      </x:c>
      <x:c r="M299" s="12" t="n">
        <x:f>IF(H299="Completed",I299*J299*(1-L299),0)</x:f>
        <x:v>0</x:v>
      </x:c>
      <x:c r="N299" s="12" t="n">
        <x:f>IF(H299="Completed",I299*K299,0)</x:f>
        <x:v>0</x:v>
      </x:c>
      <x:c r="O299" s="12" t="n">
        <x:f>M299-N299</x:f>
        <x:v>0</x:v>
      </x:c>
      <x:c r="P299" s="16" t="n">
        <x:f>IFERROR(O299/M299,0)</x:f>
        <x:v>0</x:v>
      </x:c>
      <x:c r="Q299" t="n">
        <x:f>YEAR(B299)</x:f>
        <x:v>2024</x:v>
      </x:c>
      <x:c r="R299" t="str">
        <x:f>TEXT(B299,"yyyy-mm")</x:f>
        <x:v>2024-10</x:v>
      </x:c>
    </x:row>
    <x:row r="300">
      <x:c r="A300" t="n">
        <x:v>10406</x:v>
      </x:c>
      <x:c r="B300" s="10" t="n">
        <x:v>45597</x:v>
      </x:c>
      <x:c r="C300" t="str">
        <x:v>P002</x:v>
      </x:c>
      <x:c r="D300" t="str">
        <x:v>Monitor</x:v>
      </x:c>
      <x:c r="E300" t="str">
        <x:v>Electronics</x:v>
      </x:c>
      <x:c r="F300" t="str">
        <x:v>North</x:v>
      </x:c>
      <x:c r="G300" t="str">
        <x:v>Partner</x:v>
      </x:c>
      <x:c r="H300" t="str">
        <x:v>Completed</x:v>
      </x:c>
      <x:c r="I300" t="n">
        <x:v>4</x:v>
      </x:c>
      <x:c r="J300" s="12" t="n">
        <x:v>281.66</x:v>
      </x:c>
      <x:c r="K300" s="12" t="n">
        <x:v>172.64</x:v>
      </x:c>
      <x:c r="L300" s="14" t="n">
        <x:v>0</x:v>
      </x:c>
      <x:c r="M300" s="12" t="n">
        <x:f>IF(H300="Completed",I300*J300*(1-L300),0)</x:f>
        <x:v>1126.64</x:v>
      </x:c>
      <x:c r="N300" s="12" t="n">
        <x:f>IF(H300="Completed",I300*K300,0)</x:f>
        <x:v>690.56</x:v>
      </x:c>
      <x:c r="O300" s="12" t="n">
        <x:f>M300-N300</x:f>
        <x:v>436.08000000000015</x:v>
      </x:c>
      <x:c r="P300" s="16" t="n">
        <x:f>IFERROR(O300/M300,0)</x:f>
        <x:v>0.3870624156784777</x:v>
      </x:c>
      <x:c r="Q300" t="n">
        <x:f>YEAR(B300)</x:f>
        <x:v>2024</x:v>
      </x:c>
      <x:c r="R300" t="str">
        <x:f>TEXT(B300,"yyyy-mm")</x:f>
        <x:v>2024-11</x:v>
      </x:c>
    </x:row>
    <x:row r="301">
      <x:c r="A301" t="n">
        <x:v>10795</x:v>
      </x:c>
      <x:c r="B301" s="10" t="n">
        <x:v>45599</x:v>
      </x:c>
      <x:c r="C301" t="str">
        <x:v>P007</x:v>
      </x:c>
      <x:c r="D301" t="str">
        <x:v>Headset</x:v>
      </x:c>
      <x:c r="E301" t="str">
        <x:v>Accessories</x:v>
      </x:c>
      <x:c r="F301" t="str">
        <x:v>Midlands</x:v>
      </x:c>
      <x:c r="G301" t="str">
        <x:v>Retail</x:v>
      </x:c>
      <x:c r="H301" t="str">
        <x:v>Completed</x:v>
      </x:c>
      <x:c r="I301" t="n">
        <x:v>4</x:v>
      </x:c>
      <x:c r="J301" s="12" t="n">
        <x:v>70.87</x:v>
      </x:c>
      <x:c r="K301" s="12" t="n">
        <x:v>35.02</x:v>
      </x:c>
      <x:c r="L301" s="14" t="n">
        <x:v>0.15</x:v>
      </x:c>
      <x:c r="M301" s="12" t="n">
        <x:f>IF(H301="Completed",I301*J301*(1-L301),0)</x:f>
        <x:v>240.958</x:v>
      </x:c>
      <x:c r="N301" s="12" t="n">
        <x:f>IF(H301="Completed",I301*K301,0)</x:f>
        <x:v>140.08</x:v>
      </x:c>
      <x:c r="O301" s="12" t="n">
        <x:f>M301-N301</x:f>
        <x:v>100.87799999999999</x:v>
      </x:c>
      <x:c r="P301" s="16" t="n">
        <x:f>IFERROR(O301/M301,0)</x:f>
        <x:v>0.41865387328912085</x:v>
      </x:c>
      <x:c r="Q301" t="n">
        <x:f>YEAR(B301)</x:f>
        <x:v>2024</x:v>
      </x:c>
      <x:c r="R301" t="str">
        <x:f>TEXT(B301,"yyyy-mm")</x:f>
        <x:v>2024-11</x:v>
      </x:c>
    </x:row>
    <x:row r="302">
      <x:c r="A302" t="n">
        <x:v>10904</x:v>
      </x:c>
      <x:c r="B302" s="10" t="n">
        <x:v>45599</x:v>
      </x:c>
      <x:c r="C302" t="str">
        <x:v>P002</x:v>
      </x:c>
      <x:c r="D302" t="str">
        <x:v>Monitor</x:v>
      </x:c>
      <x:c r="E302" t="str">
        <x:v>Electronics</x:v>
      </x:c>
      <x:c r="F302" t="str">
        <x:v>South</x:v>
      </x:c>
      <x:c r="G302" t="str">
        <x:v>Retail</x:v>
      </x:c>
      <x:c r="H302" t="str">
        <x:v>Cancelled</x:v>
      </x:c>
      <x:c r="I302" t="n">
        <x:v>4</x:v>
      </x:c>
      <x:c r="J302" s="12" t="n">
        <x:v>293.97</x:v>
      </x:c>
      <x:c r="K302" s="12" t="n">
        <x:v>168.39</x:v>
      </x:c>
      <x:c r="L302" s="14" t="n">
        <x:v>0</x:v>
      </x:c>
      <x:c r="M302" s="12" t="n">
        <x:f>IF(H302="Completed",I302*J302*(1-L302),0)</x:f>
        <x:v>0</x:v>
      </x:c>
      <x:c r="N302" s="12" t="n">
        <x:f>IF(H302="Completed",I302*K302,0)</x:f>
        <x:v>0</x:v>
      </x:c>
      <x:c r="O302" s="12" t="n">
        <x:f>M302-N302</x:f>
        <x:v>0</x:v>
      </x:c>
      <x:c r="P302" s="16" t="n">
        <x:f>IFERROR(O302/M302,0)</x:f>
        <x:v>0</x:v>
      </x:c>
      <x:c r="Q302" t="n">
        <x:f>YEAR(B302)</x:f>
        <x:v>2024</x:v>
      </x:c>
      <x:c r="R302" t="str">
        <x:f>TEXT(B302,"yyyy-mm")</x:f>
        <x:v>2024-11</x:v>
      </x:c>
    </x:row>
    <x:row r="303">
      <x:c r="A303" t="n">
        <x:v>10923</x:v>
      </x:c>
      <x:c r="B303" s="10" t="n">
        <x:v>45600</x:v>
      </x:c>
      <x:c r="C303" t="str">
        <x:v>P007</x:v>
      </x:c>
      <x:c r="D303" t="str">
        <x:v>Headset</x:v>
      </x:c>
      <x:c r="E303" t="str">
        <x:v>Accessories</x:v>
      </x:c>
      <x:c r="F303" t="str">
        <x:v>North</x:v>
      </x:c>
      <x:c r="G303" t="str">
        <x:v>Online</x:v>
      </x:c>
      <x:c r="H303" t="str">
        <x:v>Completed</x:v>
      </x:c>
      <x:c r="I303" t="n">
        <x:v>1</x:v>
      </x:c>
      <x:c r="J303" s="12" t="n">
        <x:v>74.12</x:v>
      </x:c>
      <x:c r="K303" s="12" t="n">
        <x:v>35</x:v>
      </x:c>
      <x:c r="L303" s="14" t="n">
        <x:v>0</x:v>
      </x:c>
      <x:c r="M303" s="12" t="n">
        <x:f>IF(H303="Completed",I303*J303*(1-L303),0)</x:f>
        <x:v>74.12</x:v>
      </x:c>
      <x:c r="N303" s="12" t="n">
        <x:f>IF(H303="Completed",I303*K303,0)</x:f>
        <x:v>35</x:v>
      </x:c>
      <x:c r="O303" s="12" t="n">
        <x:f>M303-N303</x:f>
        <x:v>39.120000000000005</x:v>
      </x:c>
      <x:c r="P303" s="16" t="n">
        <x:f>IFERROR(O303/M303,0)</x:f>
        <x:v>0.5277927684835403</x:v>
      </x:c>
      <x:c r="Q303" t="n">
        <x:f>YEAR(B303)</x:f>
        <x:v>2024</x:v>
      </x:c>
      <x:c r="R303" t="str">
        <x:f>TEXT(B303,"yyyy-mm")</x:f>
        <x:v>2024-11</x:v>
      </x:c>
    </x:row>
    <x:row r="304">
      <x:c r="A304" t="n">
        <x:v>10395</x:v>
      </x:c>
      <x:c r="B304" s="10" t="n">
        <x:v>45602</x:v>
      </x:c>
      <x:c r="C304" t="str">
        <x:v>P005</x:v>
      </x:c>
      <x:c r="D304" t="str">
        <x:v>Desk</x:v>
      </x:c>
      <x:c r="E304" t="str">
        <x:v>Furniture</x:v>
      </x:c>
      <x:c r="F304" t="str">
        <x:v>Scotland</x:v>
      </x:c>
      <x:c r="G304" t="str">
        <x:v>Partner</x:v>
      </x:c>
      <x:c r="H304" t="str">
        <x:v>Completed</x:v>
      </x:c>
      <x:c r="I304" t="n">
        <x:v>3</x:v>
      </x:c>
      <x:c r="J304" s="12" t="n">
        <x:v>269.34</x:v>
      </x:c>
      <x:c r="K304" s="12" t="n">
        <x:v>159.45</x:v>
      </x:c>
      <x:c r="L304" s="14" t="n">
        <x:v>0</x:v>
      </x:c>
      <x:c r="M304" s="12" t="n">
        <x:f>IF(H304="Completed",I304*J304*(1-L304),0)</x:f>
        <x:v>808.02</x:v>
      </x:c>
      <x:c r="N304" s="12" t="n">
        <x:f>IF(H304="Completed",I304*K304,0)</x:f>
        <x:v>478.34999999999997</x:v>
      </x:c>
      <x:c r="O304" s="12" t="n">
        <x:f>M304-N304</x:f>
        <x:v>329.67</x:v>
      </x:c>
      <x:c r="P304" s="16" t="n">
        <x:f>IFERROR(O304/M304,0)</x:f>
        <x:v>0.40799732679884165</x:v>
      </x:c>
      <x:c r="Q304" t="n">
        <x:f>YEAR(B304)</x:f>
        <x:v>2024</x:v>
      </x:c>
      <x:c r="R304" t="str">
        <x:f>TEXT(B304,"yyyy-mm")</x:f>
        <x:v>2024-11</x:v>
      </x:c>
    </x:row>
    <x:row r="305">
      <x:c r="A305" t="n">
        <x:v>10546</x:v>
      </x:c>
      <x:c r="B305" s="10" t="n">
        <x:v>45602</x:v>
      </x:c>
      <x:c r="C305" t="str">
        <x:v>P001</x:v>
      </x:c>
      <x:c r="D305" t="str">
        <x:v>Laptop</x:v>
      </x:c>
      <x:c r="E305" t="str">
        <x:v>Electronics</x:v>
      </x:c>
      <x:c r="F305" t="str">
        <x:v>South</x:v>
      </x:c>
      <x:c r="G305" t="str">
        <x:v>Retail</x:v>
      </x:c>
      <x:c r="H305" t="str">
        <x:v>Completed</x:v>
      </x:c>
      <x:c r="I305" t="n">
        <x:v>1</x:v>
      </x:c>
      <x:c r="J305" s="12" t="n">
        <x:v>910.87</x:v>
      </x:c>
      <x:c r="K305" s="12" t="n">
        <x:v>624.19</x:v>
      </x:c>
      <x:c r="L305" s="14" t="n">
        <x:v>0</x:v>
      </x:c>
      <x:c r="M305" s="12" t="n">
        <x:f>IF(H305="Completed",I305*J305*(1-L305),0)</x:f>
        <x:v>910.87</x:v>
      </x:c>
      <x:c r="N305" s="12" t="n">
        <x:f>IF(H305="Completed",I305*K305,0)</x:f>
        <x:v>624.19</x:v>
      </x:c>
      <x:c r="O305" s="12" t="n">
        <x:f>M305-N305</x:f>
        <x:v>286.67999999999995</x:v>
      </x:c>
      <x:c r="P305" s="16" t="n">
        <x:f>IFERROR(O305/M305,0)</x:f>
        <x:v>0.31473206934030096</x:v>
      </x:c>
      <x:c r="Q305" t="n">
        <x:f>YEAR(B305)</x:f>
        <x:v>2024</x:v>
      </x:c>
      <x:c r="R305" t="str">
        <x:f>TEXT(B305,"yyyy-mm")</x:f>
        <x:v>2024-11</x:v>
      </x:c>
    </x:row>
    <x:row r="306">
      <x:c r="A306" t="n">
        <x:v>10911</x:v>
      </x:c>
      <x:c r="B306" s="10" t="n">
        <x:v>45602</x:v>
      </x:c>
      <x:c r="C306" t="str">
        <x:v>P004</x:v>
      </x:c>
      <x:c r="D306" t="str">
        <x:v>Mouse</x:v>
      </x:c>
      <x:c r="E306" t="str">
        <x:v>Accessories</x:v>
      </x:c>
      <x:c r="F306" t="str">
        <x:v>Wales</x:v>
      </x:c>
      <x:c r="G306" t="str">
        <x:v>Partner</x:v>
      </x:c>
      <x:c r="H306" t="str">
        <x:v>Completed</x:v>
      </x:c>
      <x:c r="I306" t="n">
        <x:v>2</x:v>
      </x:c>
      <x:c r="J306" s="12" t="n">
        <x:v>27.12</x:v>
      </x:c>
      <x:c r="K306" s="12" t="n">
        <x:v>13.2</x:v>
      </x:c>
      <x:c r="L306" s="14" t="n">
        <x:v>0</x:v>
      </x:c>
      <x:c r="M306" s="12" t="n">
        <x:f>IF(H306="Completed",I306*J306*(1-L306),0)</x:f>
        <x:v>54.24</x:v>
      </x:c>
      <x:c r="N306" s="12" t="n">
        <x:f>IF(H306="Completed",I306*K306,0)</x:f>
        <x:v>26.4</x:v>
      </x:c>
      <x:c r="O306" s="12" t="n">
        <x:f>M306-N306</x:f>
        <x:v>27.840000000000003</x:v>
      </x:c>
      <x:c r="P306" s="16" t="n">
        <x:f>IFERROR(O306/M306,0)</x:f>
        <x:v>0.5132743362831859</x:v>
      </x:c>
      <x:c r="Q306" t="n">
        <x:f>YEAR(B306)</x:f>
        <x:v>2024</x:v>
      </x:c>
      <x:c r="R306" t="str">
        <x:f>TEXT(B306,"yyyy-mm")</x:f>
        <x:v>2024-11</x:v>
      </x:c>
    </x:row>
    <x:row r="307">
      <x:c r="A307" t="n">
        <x:v>10613</x:v>
      </x:c>
      <x:c r="B307" s="10" t="n">
        <x:v>45603</x:v>
      </x:c>
      <x:c r="C307" t="str">
        <x:v>P005</x:v>
      </x:c>
      <x:c r="D307" t="str">
        <x:v>Desk</x:v>
      </x:c>
      <x:c r="E307" t="str">
        <x:v>Furniture</x:v>
      </x:c>
      <x:c r="F307" t="str">
        <x:v>North</x:v>
      </x:c>
      <x:c r="G307" t="str">
        <x:v>Online</x:v>
      </x:c>
      <x:c r="H307" t="str">
        <x:v>Completed</x:v>
      </x:c>
      <x:c r="I307" t="n">
        <x:v>4</x:v>
      </x:c>
      <x:c r="J307" s="12" t="n">
        <x:v>276.7</x:v>
      </x:c>
      <x:c r="K307" s="12" t="n">
        <x:v>153</x:v>
      </x:c>
      <x:c r="L307" s="14" t="n">
        <x:v>0.15</x:v>
      </x:c>
      <x:c r="M307" s="12" t="n">
        <x:f>IF(H307="Completed",I307*J307*(1-L307),0)</x:f>
        <x:v>940.78</x:v>
      </x:c>
      <x:c r="N307" s="12" t="n">
        <x:f>IF(H307="Completed",I307*K307,0)</x:f>
        <x:v>612</x:v>
      </x:c>
      <x:c r="O307" s="12" t="n">
        <x:f>M307-N307</x:f>
        <x:v>328.78</x:v>
      </x:c>
      <x:c r="P307" s="16" t="n">
        <x:f>IFERROR(O307/M307,0)</x:f>
        <x:v>0.34947596675099385</x:v>
      </x:c>
      <x:c r="Q307" t="n">
        <x:f>YEAR(B307)</x:f>
        <x:v>2024</x:v>
      </x:c>
      <x:c r="R307" t="str">
        <x:f>TEXT(B307,"yyyy-mm")</x:f>
        <x:v>2024-11</x:v>
      </x:c>
    </x:row>
    <x:row r="308">
      <x:c r="A308" t="n">
        <x:v>10086</x:v>
      </x:c>
      <x:c r="B308" s="10" t="n">
        <x:v>45604</x:v>
      </x:c>
      <x:c r="C308" t="str">
        <x:v>P001</x:v>
      </x:c>
      <x:c r="D308" t="str">
        <x:v>Laptop</x:v>
      </x:c>
      <x:c r="E308" t="str">
        <x:v>Electronics</x:v>
      </x:c>
      <x:c r="F308" t="str">
        <x:v>Wales</x:v>
      </x:c>
      <x:c r="G308" t="str">
        <x:v>Online</x:v>
      </x:c>
      <x:c r="H308" t="str">
        <x:v>Completed</x:v>
      </x:c>
      <x:c r="I308" t="n">
        <x:v>1</x:v>
      </x:c>
      <x:c r="J308" s="12" t="n">
        <x:v>934.93</x:v>
      </x:c>
      <x:c r="K308" s="12" t="n">
        <x:v>612.47</x:v>
      </x:c>
      <x:c r="L308" s="14" t="n">
        <x:v>0</x:v>
      </x:c>
      <x:c r="M308" s="12" t="n">
        <x:f>IF(H308="Completed",I308*J308*(1-L308),0)</x:f>
        <x:v>934.93</x:v>
      </x:c>
      <x:c r="N308" s="12" t="n">
        <x:f>IF(H308="Completed",I308*K308,0)</x:f>
        <x:v>612.47</x:v>
      </x:c>
      <x:c r="O308" s="12" t="n">
        <x:f>M308-N308</x:f>
        <x:v>322.4599999999999</x:v>
      </x:c>
      <x:c r="P308" s="16" t="n">
        <x:f>IFERROR(O308/M308,0)</x:f>
        <x:v>0.34490282694961116</x:v>
      </x:c>
      <x:c r="Q308" t="n">
        <x:f>YEAR(B308)</x:f>
        <x:v>2024</x:v>
      </x:c>
      <x:c r="R308" t="str">
        <x:f>TEXT(B308,"yyyy-mm")</x:f>
        <x:v>2024-11</x:v>
      </x:c>
    </x:row>
    <x:row r="309">
      <x:c r="A309" t="n">
        <x:v>10584</x:v>
      </x:c>
      <x:c r="B309" s="10" t="n">
        <x:v>45604</x:v>
      </x:c>
      <x:c r="C309" t="str">
        <x:v>P001</x:v>
      </x:c>
      <x:c r="D309" t="str">
        <x:v>Laptop</x:v>
      </x:c>
      <x:c r="E309" t="str">
        <x:v>Electronics</x:v>
      </x:c>
      <x:c r="F309" t="str">
        <x:v>South</x:v>
      </x:c>
      <x:c r="G309" t="str">
        <x:v>Online</x:v>
      </x:c>
      <x:c r="H309" t="str">
        <x:v>Cancelled</x:v>
      </x:c>
      <x:c r="I309" t="n">
        <x:v>3</x:v>
      </x:c>
      <x:c r="J309" s="12" t="n">
        <x:v>906.62</x:v>
      </x:c>
      <x:c r="K309" s="12" t="n">
        <x:v>609.17</x:v>
      </x:c>
      <x:c r="L309" s="14" t="n">
        <x:v>0.15</x:v>
      </x:c>
      <x:c r="M309" s="12" t="n">
        <x:f>IF(H309="Completed",I309*J309*(1-L309),0)</x:f>
        <x:v>0</x:v>
      </x:c>
      <x:c r="N309" s="12" t="n">
        <x:f>IF(H309="Completed",I309*K309,0)</x:f>
        <x:v>0</x:v>
      </x:c>
      <x:c r="O309" s="12" t="n">
        <x:f>M309-N309</x:f>
        <x:v>0</x:v>
      </x:c>
      <x:c r="P309" s="16" t="n">
        <x:f>IFERROR(O309/M309,0)</x:f>
        <x:v>0</x:v>
      </x:c>
      <x:c r="Q309" t="n">
        <x:f>YEAR(B309)</x:f>
        <x:v>2024</x:v>
      </x:c>
      <x:c r="R309" t="str">
        <x:f>TEXT(B309,"yyyy-mm")</x:f>
        <x:v>2024-11</x:v>
      </x:c>
    </x:row>
    <x:row r="310">
      <x:c r="A310" t="n">
        <x:v>10886</x:v>
      </x:c>
      <x:c r="B310" s="10" t="n">
        <x:v>45604</x:v>
      </x:c>
      <x:c r="C310" t="str">
        <x:v>P005</x:v>
      </x:c>
      <x:c r="D310" t="str">
        <x:v>Desk</x:v>
      </x:c>
      <x:c r="E310" t="str">
        <x:v>Furniture</x:v>
      </x:c>
      <x:c r="F310" t="str">
        <x:v>North</x:v>
      </x:c>
      <x:c r="G310" t="str">
        <x:v>Retail</x:v>
      </x:c>
      <x:c r="H310" t="str">
        <x:v>Completed</x:v>
      </x:c>
      <x:c r="I310" t="n">
        <x:v>2</x:v>
      </x:c>
      <x:c r="J310" s="12" t="n">
        <x:v>277.29</x:v>
      </x:c>
      <x:c r="K310" s="12" t="n">
        <x:v>152.42</x:v>
      </x:c>
      <x:c r="L310" s="14" t="n">
        <x:v>0</x:v>
      </x:c>
      <x:c r="M310" s="12" t="n">
        <x:f>IF(H310="Completed",I310*J310*(1-L310),0)</x:f>
        <x:v>554.58</x:v>
      </x:c>
      <x:c r="N310" s="12" t="n">
        <x:f>IF(H310="Completed",I310*K310,0)</x:f>
        <x:v>304.84</x:v>
      </x:c>
      <x:c r="O310" s="12" t="n">
        <x:f>M310-N310</x:f>
        <x:v>249.74000000000007</x:v>
      </x:c>
      <x:c r="P310" s="16" t="n">
        <x:f>IFERROR(O310/M310,0)</x:f>
        <x:v>0.45032276677846306</x:v>
      </x:c>
      <x:c r="Q310" t="n">
        <x:f>YEAR(B310)</x:f>
        <x:v>2024</x:v>
      </x:c>
      <x:c r="R310" t="str">
        <x:f>TEXT(B310,"yyyy-mm")</x:f>
        <x:v>2024-11</x:v>
      </x:c>
    </x:row>
    <x:row r="311">
      <x:c r="A311" t="n">
        <x:v>10079</x:v>
      </x:c>
      <x:c r="B311" s="10" t="n">
        <x:v>45605</x:v>
      </x:c>
      <x:c r="C311" t="str">
        <x:v>P005</x:v>
      </x:c>
      <x:c r="D311" t="str">
        <x:v>Desk</x:v>
      </x:c>
      <x:c r="E311" t="str">
        <x:v>Furniture</x:v>
      </x:c>
      <x:c r="F311" t="str">
        <x:v>North</x:v>
      </x:c>
      <x:c r="G311" t="str">
        <x:v>Online</x:v>
      </x:c>
      <x:c r="H311" t="str">
        <x:v>Completed</x:v>
      </x:c>
      <x:c r="I311" t="n">
        <x:v>2</x:v>
      </x:c>
      <x:c r="J311" s="12" t="n">
        <x:v>277.07</x:v>
      </x:c>
      <x:c r="K311" s="12" t="n">
        <x:v>157.81</x:v>
      </x:c>
      <x:c r="L311" s="14" t="n">
        <x:v>0.15</x:v>
      </x:c>
      <x:c r="M311" s="12" t="n">
        <x:f>IF(H311="Completed",I311*J311*(1-L311),0)</x:f>
        <x:v>471.01899999999995</x:v>
      </x:c>
      <x:c r="N311" s="12" t="n">
        <x:f>IF(H311="Completed",I311*K311,0)</x:f>
        <x:v>315.62</x:v>
      </x:c>
      <x:c r="O311" s="12" t="n">
        <x:f>M311-N311</x:f>
        <x:v>155.39899999999994</x:v>
      </x:c>
      <x:c r="P311" s="16" t="n">
        <x:f>IFERROR(O311/M311,0)</x:f>
        <x:v>0.32992087368025486</x:v>
      </x:c>
      <x:c r="Q311" t="n">
        <x:f>YEAR(B311)</x:f>
        <x:v>2024</x:v>
      </x:c>
      <x:c r="R311" t="str">
        <x:f>TEXT(B311,"yyyy-mm")</x:f>
        <x:v>2024-11</x:v>
      </x:c>
    </x:row>
    <x:row r="312">
      <x:c r="A312" t="n">
        <x:v>10090</x:v>
      </x:c>
      <x:c r="B312" s="10" t="n">
        <x:v>45606</x:v>
      </x:c>
      <x:c r="C312" t="str">
        <x:v>P005</x:v>
      </x:c>
      <x:c r="D312" t="str">
        <x:v>Desk</x:v>
      </x:c>
      <x:c r="E312" t="str">
        <x:v>Furniture</x:v>
      </x:c>
      <x:c r="F312" t="str">
        <x:v>North</x:v>
      </x:c>
      <x:c r="G312" t="str">
        <x:v>Retail</x:v>
      </x:c>
      <x:c r="H312" t="str">
        <x:v>Completed</x:v>
      </x:c>
      <x:c r="I312" t="n">
        <x:v>4</x:v>
      </x:c>
      <x:c r="J312" s="12" t="n">
        <x:v>276.38</x:v>
      </x:c>
      <x:c r="K312" s="12" t="n">
        <x:v>155.73</x:v>
      </x:c>
      <x:c r="L312" s="14" t="n">
        <x:v>0</x:v>
      </x:c>
      <x:c r="M312" s="12" t="n">
        <x:f>IF(H312="Completed",I312*J312*(1-L312),0)</x:f>
        <x:v>1105.52</x:v>
      </x:c>
      <x:c r="N312" s="12" t="n">
        <x:f>IF(H312="Completed",I312*K312,0)</x:f>
        <x:v>622.92</x:v>
      </x:c>
      <x:c r="O312" s="12" t="n">
        <x:f>M312-N312</x:f>
        <x:v>482.6</x:v>
      </x:c>
      <x:c r="P312" s="16" t="n">
        <x:f>IFERROR(O312/M312,0)</x:f>
        <x:v>0.43653665243505324</x:v>
      </x:c>
      <x:c r="Q312" t="n">
        <x:f>YEAR(B312)</x:f>
        <x:v>2024</x:v>
      </x:c>
      <x:c r="R312" t="str">
        <x:f>TEXT(B312,"yyyy-mm")</x:f>
        <x:v>2024-11</x:v>
      </x:c>
    </x:row>
    <x:row r="313">
      <x:c r="A313" t="n">
        <x:v>10412</x:v>
      </x:c>
      <x:c r="B313" s="10" t="n">
        <x:v>45606</x:v>
      </x:c>
      <x:c r="C313" t="str">
        <x:v>P007</x:v>
      </x:c>
      <x:c r="D313" t="str">
        <x:v>Headset</x:v>
      </x:c>
      <x:c r="E313" t="str">
        <x:v>Accessories</x:v>
      </x:c>
      <x:c r="F313" t="str">
        <x:v>Midlands</x:v>
      </x:c>
      <x:c r="G313" t="str">
        <x:v>Retail</x:v>
      </x:c>
      <x:c r="H313" t="str">
        <x:v>Completed</x:v>
      </x:c>
      <x:c r="I313" t="n">
        <x:v>3</x:v>
      </x:c>
      <x:c r="J313" s="12" t="n">
        <x:v>72.21</x:v>
      </x:c>
      <x:c r="K313" s="12" t="n">
        <x:v>35.82</x:v>
      </x:c>
      <x:c r="L313" s="14" t="n">
        <x:v>0</x:v>
      </x:c>
      <x:c r="M313" s="12" t="n">
        <x:f>IF(H313="Completed",I313*J313*(1-L313),0)</x:f>
        <x:v>216.63</x:v>
      </x:c>
      <x:c r="N313" s="12" t="n">
        <x:f>IF(H313="Completed",I313*K313,0)</x:f>
        <x:v>107.46000000000001</x:v>
      </x:c>
      <x:c r="O313" s="12" t="n">
        <x:f>M313-N313</x:f>
        <x:v>109.16999999999999</x:v>
      </x:c>
      <x:c r="P313" s="16" t="n">
        <x:f>IFERROR(O313/M313,0)</x:f>
        <x:v>0.503946821769838</x:v>
      </x:c>
      <x:c r="Q313" t="n">
        <x:f>YEAR(B313)</x:f>
        <x:v>2024</x:v>
      </x:c>
      <x:c r="R313" t="str">
        <x:f>TEXT(B313,"yyyy-mm")</x:f>
        <x:v>2024-11</x:v>
      </x:c>
    </x:row>
    <x:row r="314">
      <x:c r="A314" t="n">
        <x:v>10040</x:v>
      </x:c>
      <x:c r="B314" s="10" t="n">
        <x:v>45607</x:v>
      </x:c>
      <x:c r="C314" t="str">
        <x:v>P006</x:v>
      </x:c>
      <x:c r="D314" t="str">
        <x:v>Chair</x:v>
      </x:c>
      <x:c r="E314" t="str">
        <x:v>Furniture</x:v>
      </x:c>
      <x:c r="F314" t="str">
        <x:v>Wales</x:v>
      </x:c>
      <x:c r="G314" t="str">
        <x:v>Online</x:v>
      </x:c>
      <x:c r="H314" t="str">
        <x:v>Completed</x:v>
      </x:c>
      <x:c r="I314" t="n">
        <x:v>1</x:v>
      </x:c>
      <x:c r="J314" s="12" t="n">
        <x:v>131.92</x:v>
      </x:c>
      <x:c r="K314" s="12" t="n">
        <x:v>69.29</x:v>
      </x:c>
      <x:c r="L314" s="14" t="n">
        <x:v>0.15</x:v>
      </x:c>
      <x:c r="M314" s="12" t="n">
        <x:f>IF(H314="Completed",I314*J314*(1-L314),0)</x:f>
        <x:v>112.13199999999999</x:v>
      </x:c>
      <x:c r="N314" s="12" t="n">
        <x:f>IF(H314="Completed",I314*K314,0)</x:f>
        <x:v>69.29</x:v>
      </x:c>
      <x:c r="O314" s="12" t="n">
        <x:f>M314-N314</x:f>
        <x:v>42.841999999999985</x:v>
      </x:c>
      <x:c r="P314" s="16" t="n">
        <x:f>IFERROR(O314/M314,0)</x:f>
        <x:v>0.3820675632290514</x:v>
      </x:c>
      <x:c r="Q314" t="n">
        <x:f>YEAR(B314)</x:f>
        <x:v>2024</x:v>
      </x:c>
      <x:c r="R314" t="str">
        <x:f>TEXT(B314,"yyyy-mm")</x:f>
        <x:v>2024-11</x:v>
      </x:c>
    </x:row>
    <x:row r="315">
      <x:c r="A315" t="n">
        <x:v>10333</x:v>
      </x:c>
      <x:c r="B315" s="10" t="n">
        <x:v>45609</x:v>
      </x:c>
      <x:c r="C315" t="str">
        <x:v>P002</x:v>
      </x:c>
      <x:c r="D315" t="str">
        <x:v>Monitor</x:v>
      </x:c>
      <x:c r="E315" t="str">
        <x:v>Electronics</x:v>
      </x:c>
      <x:c r="F315" t="str">
        <x:v>Wales</x:v>
      </x:c>
      <x:c r="G315" t="str">
        <x:v>Online</x:v>
      </x:c>
      <x:c r="H315" t="str">
        <x:v>Completed</x:v>
      </x:c>
      <x:c r="I315" t="n">
        <x:v>2</x:v>
      </x:c>
      <x:c r="J315" s="12" t="n">
        <x:v>288.15</x:v>
      </x:c>
      <x:c r="K315" s="12" t="n">
        <x:v>173.09</x:v>
      </x:c>
      <x:c r="L315" s="14" t="n">
        <x:v>0.05</x:v>
      </x:c>
      <x:c r="M315" s="12" t="n">
        <x:f>IF(H315="Completed",I315*J315*(1-L315),0)</x:f>
        <x:v>547.4849999999999</x:v>
      </x:c>
      <x:c r="N315" s="12" t="n">
        <x:f>IF(H315="Completed",I315*K315,0)</x:f>
        <x:v>346.18</x:v>
      </x:c>
      <x:c r="O315" s="12" t="n">
        <x:f>M315-N315</x:f>
        <x:v>201.3049999999999</x:v>
      </x:c>
      <x:c r="P315" s="16" t="n">
        <x:f>IFERROR(O315/M315,0)</x:f>
        <x:v>0.3676904390074613</x:v>
      </x:c>
      <x:c r="Q315" t="n">
        <x:f>YEAR(B315)</x:f>
        <x:v>2024</x:v>
      </x:c>
      <x:c r="R315" t="str">
        <x:f>TEXT(B315,"yyyy-mm")</x:f>
        <x:v>2024-11</x:v>
      </x:c>
    </x:row>
    <x:row r="316">
      <x:c r="A316" t="n">
        <x:v>10545</x:v>
      </x:c>
      <x:c r="B316" s="10" t="n">
        <x:v>45609</x:v>
      </x:c>
      <x:c r="C316" t="str">
        <x:v>P006</x:v>
      </x:c>
      <x:c r="D316" t="str">
        <x:v>Chair</x:v>
      </x:c>
      <x:c r="E316" t="str">
        <x:v>Furniture</x:v>
      </x:c>
      <x:c r="F316" t="str">
        <x:v>South</x:v>
      </x:c>
      <x:c r="G316" t="str">
        <x:v>Retail</x:v>
      </x:c>
      <x:c r="H316" t="str">
        <x:v>Completed</x:v>
      </x:c>
      <x:c r="I316" t="n">
        <x:v>4</x:v>
      </x:c>
      <x:c r="J316" s="12" t="n">
        <x:v>134.41</x:v>
      </x:c>
      <x:c r="K316" s="12" t="n">
        <x:v>67.52</x:v>
      </x:c>
      <x:c r="L316" s="14" t="n">
        <x:v>0</x:v>
      </x:c>
      <x:c r="M316" s="12" t="n">
        <x:f>IF(H316="Completed",I316*J316*(1-L316),0)</x:f>
        <x:v>537.64</x:v>
      </x:c>
      <x:c r="N316" s="12" t="n">
        <x:f>IF(H316="Completed",I316*K316,0)</x:f>
        <x:v>270.08</x:v>
      </x:c>
      <x:c r="O316" s="12" t="n">
        <x:f>M316-N316</x:f>
        <x:v>267.56</x:v>
      </x:c>
      <x:c r="P316" s="16" t="n">
        <x:f>IFERROR(O316/M316,0)</x:f>
        <x:v>0.4976564243731865</x:v>
      </x:c>
      <x:c r="Q316" t="n">
        <x:f>YEAR(B316)</x:f>
        <x:v>2024</x:v>
      </x:c>
      <x:c r="R316" t="str">
        <x:f>TEXT(B316,"yyyy-mm")</x:f>
        <x:v>2024-11</x:v>
      </x:c>
    </x:row>
    <x:row r="317">
      <x:c r="A317" t="n">
        <x:v>10641</x:v>
      </x:c>
      <x:c r="B317" s="10" t="n">
        <x:v>45610</x:v>
      </x:c>
      <x:c r="C317" t="str">
        <x:v>P001</x:v>
      </x:c>
      <x:c r="D317" t="str">
        <x:v>Laptop</x:v>
      </x:c>
      <x:c r="E317" t="str">
        <x:v>Electronics</x:v>
      </x:c>
      <x:c r="F317" t="str">
        <x:v>Midlands</x:v>
      </x:c>
      <x:c r="G317" t="str">
        <x:v>Partner</x:v>
      </x:c>
      <x:c r="H317" t="str">
        <x:v>Completed</x:v>
      </x:c>
      <x:c r="I317" t="n">
        <x:v>1</x:v>
      </x:c>
      <x:c r="J317" s="12" t="n">
        <x:v>941.74</x:v>
      </x:c>
      <x:c r="K317" s="12" t="n">
        <x:v>630.71</x:v>
      </x:c>
      <x:c r="L317" s="14" t="n">
        <x:v>0.1</x:v>
      </x:c>
      <x:c r="M317" s="12" t="n">
        <x:f>IF(H317="Completed",I317*J317*(1-L317),0)</x:f>
        <x:v>847.566</x:v>
      </x:c>
      <x:c r="N317" s="12" t="n">
        <x:f>IF(H317="Completed",I317*K317,0)</x:f>
        <x:v>630.71</x:v>
      </x:c>
      <x:c r="O317" s="12" t="n">
        <x:f>M317-N317</x:f>
        <x:v>216.856</x:v>
      </x:c>
      <x:c r="P317" s="16" t="n">
        <x:f>IFERROR(O317/M317,0)</x:f>
        <x:v>0.25585736096068035</x:v>
      </x:c>
      <x:c r="Q317" t="n">
        <x:f>YEAR(B317)</x:f>
        <x:v>2024</x:v>
      </x:c>
      <x:c r="R317" t="str">
        <x:f>TEXT(B317,"yyyy-mm")</x:f>
        <x:v>2024-11</x:v>
      </x:c>
    </x:row>
    <x:row r="318">
      <x:c r="A318" t="n">
        <x:v>10140</x:v>
      </x:c>
      <x:c r="B318" s="10" t="n">
        <x:v>45611</x:v>
      </x:c>
      <x:c r="C318" t="str">
        <x:v>P006</x:v>
      </x:c>
      <x:c r="D318" t="str">
        <x:v>Chair</x:v>
      </x:c>
      <x:c r="E318" t="str">
        <x:v>Furniture</x:v>
      </x:c>
      <x:c r="F318" t="str">
        <x:v>South</x:v>
      </x:c>
      <x:c r="G318" t="str">
        <x:v>Online</x:v>
      </x:c>
      <x:c r="H318" t="str">
        <x:v>Completed</x:v>
      </x:c>
      <x:c r="I318" t="n">
        <x:v>1</x:v>
      </x:c>
      <x:c r="J318" s="12" t="n">
        <x:v>138.96</x:v>
      </x:c>
      <x:c r="K318" s="12" t="n">
        <x:v>67.83</x:v>
      </x:c>
      <x:c r="L318" s="14" t="n">
        <x:v>0</x:v>
      </x:c>
      <x:c r="M318" s="12" t="n">
        <x:f>IF(H318="Completed",I318*J318*(1-L318),0)</x:f>
        <x:v>138.96</x:v>
      </x:c>
      <x:c r="N318" s="12" t="n">
        <x:f>IF(H318="Completed",I318*K318,0)</x:f>
        <x:v>67.83</x:v>
      </x:c>
      <x:c r="O318" s="12" t="n">
        <x:f>M318-N318</x:f>
        <x:v>71.13000000000001</x:v>
      </x:c>
      <x:c r="P318" s="16" t="n">
        <x:f>IFERROR(O318/M318,0)</x:f>
        <x:v>0.5118739205526771</x:v>
      </x:c>
      <x:c r="Q318" t="n">
        <x:f>YEAR(B318)</x:f>
        <x:v>2024</x:v>
      </x:c>
      <x:c r="R318" t="str">
        <x:f>TEXT(B318,"yyyy-mm")</x:f>
        <x:v>2024-11</x:v>
      </x:c>
    </x:row>
    <x:row r="319">
      <x:c r="A319" t="n">
        <x:v>10781</x:v>
      </x:c>
      <x:c r="B319" s="10" t="n">
        <x:v>45611</x:v>
      </x:c>
      <x:c r="C319" t="str">
        <x:v>P007</x:v>
      </x:c>
      <x:c r="D319" t="str">
        <x:v>Headset</x:v>
      </x:c>
      <x:c r="E319" t="str">
        <x:v>Accessories</x:v>
      </x:c>
      <x:c r="F319" t="str">
        <x:v>Scotland</x:v>
      </x:c>
      <x:c r="G319" t="str">
        <x:v>Retail</x:v>
      </x:c>
      <x:c r="H319" t="str">
        <x:v>Completed</x:v>
      </x:c>
      <x:c r="I319" t="n">
        <x:v>4</x:v>
      </x:c>
      <x:c r="J319" s="12" t="n">
        <x:v>72.63</x:v>
      </x:c>
      <x:c r="K319" s="12" t="n">
        <x:v>35.24</x:v>
      </x:c>
      <x:c r="L319" s="14" t="n">
        <x:v>0.15</x:v>
      </x:c>
      <x:c r="M319" s="12" t="n">
        <x:f>IF(H319="Completed",I319*J319*(1-L319),0)</x:f>
        <x:v>246.94199999999998</x:v>
      </x:c>
      <x:c r="N319" s="12" t="n">
        <x:f>IF(H319="Completed",I319*K319,0)</x:f>
        <x:v>140.96</x:v>
      </x:c>
      <x:c r="O319" s="12" t="n">
        <x:f>M319-N319</x:f>
        <x:v>105.98199999999997</x:v>
      </x:c>
      <x:c r="P319" s="16" t="n">
        <x:f>IFERROR(O319/M319,0)</x:f>
        <x:v>0.4291777016465404</x:v>
      </x:c>
      <x:c r="Q319" t="n">
        <x:f>YEAR(B319)</x:f>
        <x:v>2024</x:v>
      </x:c>
      <x:c r="R319" t="str">
        <x:f>TEXT(B319,"yyyy-mm")</x:f>
        <x:v>2024-11</x:v>
      </x:c>
    </x:row>
    <x:row r="320">
      <x:c r="A320" t="n">
        <x:v>10928</x:v>
      </x:c>
      <x:c r="B320" s="10" t="n">
        <x:v>45611</x:v>
      </x:c>
      <x:c r="C320" t="str">
        <x:v>P007</x:v>
      </x:c>
      <x:c r="D320" t="str">
        <x:v>Headset</x:v>
      </x:c>
      <x:c r="E320" t="str">
        <x:v>Accessories</x:v>
      </x:c>
      <x:c r="F320" t="str">
        <x:v>Midlands</x:v>
      </x:c>
      <x:c r="G320" t="str">
        <x:v>Partner</x:v>
      </x:c>
      <x:c r="H320" t="str">
        <x:v>Completed</x:v>
      </x:c>
      <x:c r="I320" t="n">
        <x:v>3</x:v>
      </x:c>
      <x:c r="J320" s="12" t="n">
        <x:v>72.21</x:v>
      </x:c>
      <x:c r="K320" s="12" t="n">
        <x:v>35.36</x:v>
      </x:c>
      <x:c r="L320" s="14" t="n">
        <x:v>0</x:v>
      </x:c>
      <x:c r="M320" s="12" t="n">
        <x:f>IF(H320="Completed",I320*J320*(1-L320),0)</x:f>
        <x:v>216.63</x:v>
      </x:c>
      <x:c r="N320" s="12" t="n">
        <x:f>IF(H320="Completed",I320*K320,0)</x:f>
        <x:v>106.08</x:v>
      </x:c>
      <x:c r="O320" s="12" t="n">
        <x:f>M320-N320</x:f>
        <x:v>110.55</x:v>
      </x:c>
      <x:c r="P320" s="16" t="n">
        <x:f>IFERROR(O320/M320,0)</x:f>
        <x:v>0.5103171305913309</x:v>
      </x:c>
      <x:c r="Q320" t="n">
        <x:f>YEAR(B320)</x:f>
        <x:v>2024</x:v>
      </x:c>
      <x:c r="R320" t="str">
        <x:f>TEXT(B320,"yyyy-mm")</x:f>
        <x:v>2024-11</x:v>
      </x:c>
    </x:row>
    <x:row r="321">
      <x:c r="A321" t="n">
        <x:v>10137</x:v>
      </x:c>
      <x:c r="B321" s="10" t="n">
        <x:v>45612</x:v>
      </x:c>
      <x:c r="C321" t="str">
        <x:v>P007</x:v>
      </x:c>
      <x:c r="D321" t="str">
        <x:v>Headset</x:v>
      </x:c>
      <x:c r="E321" t="str">
        <x:v>Accessories</x:v>
      </x:c>
      <x:c r="F321" t="str">
        <x:v>South</x:v>
      </x:c>
      <x:c r="G321" t="str">
        <x:v>Online</x:v>
      </x:c>
      <x:c r="H321" t="str">
        <x:v>Completed</x:v>
      </x:c>
      <x:c r="I321" t="n">
        <x:v>3</x:v>
      </x:c>
      <x:c r="J321" s="12" t="n">
        <x:v>74.49</x:v>
      </x:c>
      <x:c r="K321" s="12" t="n">
        <x:v>34.42</x:v>
      </x:c>
      <x:c r="L321" s="14" t="n">
        <x:v>0.15</x:v>
      </x:c>
      <x:c r="M321" s="12" t="n">
        <x:f>IF(H321="Completed",I321*J321*(1-L321),0)</x:f>
        <x:v>189.94949999999997</x:v>
      </x:c>
      <x:c r="N321" s="12" t="n">
        <x:f>IF(H321="Completed",I321*K321,0)</x:f>
        <x:v>103.26</x:v>
      </x:c>
      <x:c r="O321" s="12" t="n">
        <x:f>M321-N321</x:f>
        <x:v>86.68949999999997</x:v>
      </x:c>
      <x:c r="P321" s="16" t="n">
        <x:f>IFERROR(O321/M321,0)</x:f>
        <x:v>0.4563818278015998</x:v>
      </x:c>
      <x:c r="Q321" t="n">
        <x:f>YEAR(B321)</x:f>
        <x:v>2024</x:v>
      </x:c>
      <x:c r="R321" t="str">
        <x:f>TEXT(B321,"yyyy-mm")</x:f>
        <x:v>2024-11</x:v>
      </x:c>
    </x:row>
    <x:row r="322">
      <x:c r="A322" t="n">
        <x:v>10150</x:v>
      </x:c>
      <x:c r="B322" s="10" t="n">
        <x:v>45612</x:v>
      </x:c>
      <x:c r="C322" t="str">
        <x:v>P007</x:v>
      </x:c>
      <x:c r="D322" t="str">
        <x:v>Headset</x:v>
      </x:c>
      <x:c r="E322" t="str">
        <x:v>Accessories</x:v>
      </x:c>
      <x:c r="F322" t="str">
        <x:v>South</x:v>
      </x:c>
      <x:c r="G322" t="str">
        <x:v>Online</x:v>
      </x:c>
      <x:c r="H322" t="str">
        <x:v>Completed</x:v>
      </x:c>
      <x:c r="I322" t="n">
        <x:v>4</x:v>
      </x:c>
      <x:c r="J322" s="12" t="n">
        <x:v>69.95</x:v>
      </x:c>
      <x:c r="K322" s="12" t="n">
        <x:v>34.87</x:v>
      </x:c>
      <x:c r="L322" s="14" t="n">
        <x:v>0.05</x:v>
      </x:c>
      <x:c r="M322" s="12" t="n">
        <x:f>IF(H322="Completed",I322*J322*(1-L322),0)</x:f>
        <x:v>265.81</x:v>
      </x:c>
      <x:c r="N322" s="12" t="n">
        <x:f>IF(H322="Completed",I322*K322,0)</x:f>
        <x:v>139.48</x:v>
      </x:c>
      <x:c r="O322" s="12" t="n">
        <x:f>M322-N322</x:f>
        <x:v>126.33000000000001</x:v>
      </x:c>
      <x:c r="P322" s="16" t="n">
        <x:f>IFERROR(O322/M322,0)</x:f>
        <x:v>0.475264286520447</x:v>
      </x:c>
      <x:c r="Q322" t="n">
        <x:f>YEAR(B322)</x:f>
        <x:v>2024</x:v>
      </x:c>
      <x:c r="R322" t="str">
        <x:f>TEXT(B322,"yyyy-mm")</x:f>
        <x:v>2024-11</x:v>
      </x:c>
    </x:row>
    <x:row r="323">
      <x:c r="A323" t="n">
        <x:v>10029</x:v>
      </x:c>
      <x:c r="B323" s="10" t="n">
        <x:v>45613</x:v>
      </x:c>
      <x:c r="C323" t="str">
        <x:v>P001</x:v>
      </x:c>
      <x:c r="D323" t="str">
        <x:v>Laptop</x:v>
      </x:c>
      <x:c r="E323" t="str">
        <x:v>Electronics</x:v>
      </x:c>
      <x:c r="F323" t="str">
        <x:v>South</x:v>
      </x:c>
      <x:c r="G323" t="str">
        <x:v>Online</x:v>
      </x:c>
      <x:c r="H323" t="str">
        <x:v>Cancelled</x:v>
      </x:c>
      <x:c r="I323" t="n">
        <x:v>1</x:v>
      </x:c>
      <x:c r="J323" s="12" t="n">
        <x:v>896.06</x:v>
      </x:c>
      <x:c r="K323" s="12" t="n">
        <x:v>623.34</x:v>
      </x:c>
      <x:c r="L323" s="14" t="n">
        <x:v>0</x:v>
      </x:c>
      <x:c r="M323" s="12" t="n">
        <x:f>IF(H323="Completed",I323*J323*(1-L323),0)</x:f>
        <x:v>0</x:v>
      </x:c>
      <x:c r="N323" s="12" t="n">
        <x:f>IF(H323="Completed",I323*K323,0)</x:f>
        <x:v>0</x:v>
      </x:c>
      <x:c r="O323" s="12" t="n">
        <x:f>M323-N323</x:f>
        <x:v>0</x:v>
      </x:c>
      <x:c r="P323" s="16" t="n">
        <x:f>IFERROR(O323/M323,0)</x:f>
        <x:v>0</x:v>
      </x:c>
      <x:c r="Q323" t="n">
        <x:f>YEAR(B323)</x:f>
        <x:v>2024</x:v>
      </x:c>
      <x:c r="R323" t="str">
        <x:f>TEXT(B323,"yyyy-mm")</x:f>
        <x:v>2024-11</x:v>
      </x:c>
    </x:row>
    <x:row r="324">
      <x:c r="A324" t="n">
        <x:v>10191</x:v>
      </x:c>
      <x:c r="B324" s="10" t="n">
        <x:v>45613</x:v>
      </x:c>
      <x:c r="C324" t="str">
        <x:v>P005</x:v>
      </x:c>
      <x:c r="D324" t="str">
        <x:v>Desk</x:v>
      </x:c>
      <x:c r="E324" t="str">
        <x:v>Furniture</x:v>
      </x:c>
      <x:c r="F324" t="str">
        <x:v>Wales</x:v>
      </x:c>
      <x:c r="G324" t="str">
        <x:v>Online</x:v>
      </x:c>
      <x:c r="H324" t="str">
        <x:v>Completed</x:v>
      </x:c>
      <x:c r="I324" t="n">
        <x:v>2</x:v>
      </x:c>
      <x:c r="J324" s="12" t="n">
        <x:v>276.72</x:v>
      </x:c>
      <x:c r="K324" s="12" t="n">
        <x:v>158.98</x:v>
      </x:c>
      <x:c r="L324" s="14" t="n">
        <x:v>0.05</x:v>
      </x:c>
      <x:c r="M324" s="12" t="n">
        <x:f>IF(H324="Completed",I324*J324*(1-L324),0)</x:f>
        <x:v>525.768</x:v>
      </x:c>
      <x:c r="N324" s="12" t="n">
        <x:f>IF(H324="Completed",I324*K324,0)</x:f>
        <x:v>317.96</x:v>
      </x:c>
      <x:c r="O324" s="12" t="n">
        <x:f>M324-N324</x:f>
        <x:v>207.80800000000005</x:v>
      </x:c>
      <x:c r="P324" s="16" t="n">
        <x:f>IFERROR(O324/M324,0)</x:f>
        <x:v>0.3952465726327963</x:v>
      </x:c>
      <x:c r="Q324" t="n">
        <x:f>YEAR(B324)</x:f>
        <x:v>2024</x:v>
      </x:c>
      <x:c r="R324" t="str">
        <x:f>TEXT(B324,"yyyy-mm")</x:f>
        <x:v>2024-11</x:v>
      </x:c>
    </x:row>
    <x:row r="325">
      <x:c r="A325" t="n">
        <x:v>10452</x:v>
      </x:c>
      <x:c r="B325" s="10" t="n">
        <x:v>45613</x:v>
      </x:c>
      <x:c r="C325" t="str">
        <x:v>P004</x:v>
      </x:c>
      <x:c r="D325" t="str">
        <x:v>Mouse</x:v>
      </x:c>
      <x:c r="E325" t="str">
        <x:v>Accessories</x:v>
      </x:c>
      <x:c r="F325" t="str">
        <x:v>North</x:v>
      </x:c>
      <x:c r="G325" t="str">
        <x:v>Retail</x:v>
      </x:c>
      <x:c r="H325" t="str">
        <x:v>Completed</x:v>
      </x:c>
      <x:c r="I325" t="n">
        <x:v>2</x:v>
      </x:c>
      <x:c r="J325" s="12" t="n">
        <x:v>26.44</x:v>
      </x:c>
      <x:c r="K325" s="12" t="n">
        <x:v>13.2</x:v>
      </x:c>
      <x:c r="L325" s="14" t="n">
        <x:v>0.15</x:v>
      </x:c>
      <x:c r="M325" s="12" t="n">
        <x:f>IF(H325="Completed",I325*J325*(1-L325),0)</x:f>
        <x:v>44.948</x:v>
      </x:c>
      <x:c r="N325" s="12" t="n">
        <x:f>IF(H325="Completed",I325*K325,0)</x:f>
        <x:v>26.4</x:v>
      </x:c>
      <x:c r="O325" s="12" t="n">
        <x:f>M325-N325</x:f>
        <x:v>18.548000000000002</x:v>
      </x:c>
      <x:c r="P325" s="16" t="n">
        <x:f>IFERROR(O325/M325,0)</x:f>
        <x:v>0.41265462312004986</x:v>
      </x:c>
      <x:c r="Q325" t="n">
        <x:f>YEAR(B325)</x:f>
        <x:v>2024</x:v>
      </x:c>
      <x:c r="R325" t="str">
        <x:f>TEXT(B325,"yyyy-mm")</x:f>
        <x:v>2024-11</x:v>
      </x:c>
    </x:row>
    <x:row r="326">
      <x:c r="A326" t="n">
        <x:v>10522</x:v>
      </x:c>
      <x:c r="B326" s="10" t="n">
        <x:v>45613</x:v>
      </x:c>
      <x:c r="C326" t="str">
        <x:v>P006</x:v>
      </x:c>
      <x:c r="D326" t="str">
        <x:v>Chair</x:v>
      </x:c>
      <x:c r="E326" t="str">
        <x:v>Furniture</x:v>
      </x:c>
      <x:c r="F326" t="str">
        <x:v>Wales</x:v>
      </x:c>
      <x:c r="G326" t="str">
        <x:v>Online</x:v>
      </x:c>
      <x:c r="H326" t="str">
        <x:v>Completed</x:v>
      </x:c>
      <x:c r="I326" t="n">
        <x:v>2</x:v>
      </x:c>
      <x:c r="J326" s="12" t="n">
        <x:v>137.92</x:v>
      </x:c>
      <x:c r="K326" s="12" t="n">
        <x:v>67.44</x:v>
      </x:c>
      <x:c r="L326" s="14" t="n">
        <x:v>0.05</x:v>
      </x:c>
      <x:c r="M326" s="12" t="n">
        <x:f>IF(H326="Completed",I326*J326*(1-L326),0)</x:f>
        <x:v>262.04799999999994</x:v>
      </x:c>
      <x:c r="N326" s="12" t="n">
        <x:f>IF(H326="Completed",I326*K326,0)</x:f>
        <x:v>134.88</x:v>
      </x:c>
      <x:c r="O326" s="12" t="n">
        <x:f>M326-N326</x:f>
        <x:v>127.16799999999995</x:v>
      </x:c>
      <x:c r="P326" s="16" t="n">
        <x:f>IFERROR(O326/M326,0)</x:f>
        <x:v>0.48528513860056166</x:v>
      </x:c>
      <x:c r="Q326" t="n">
        <x:f>YEAR(B326)</x:f>
        <x:v>2024</x:v>
      </x:c>
      <x:c r="R326" t="str">
        <x:f>TEXT(B326,"yyyy-mm")</x:f>
        <x:v>2024-11</x:v>
      </x:c>
    </x:row>
    <x:row r="327">
      <x:c r="A327" t="n">
        <x:v>10525</x:v>
      </x:c>
      <x:c r="B327" s="10" t="n">
        <x:v>45614</x:v>
      </x:c>
      <x:c r="C327" t="str">
        <x:v>P008</x:v>
      </x:c>
      <x:c r="D327" t="str">
        <x:v>Webcam</x:v>
      </x:c>
      <x:c r="E327" t="str">
        <x:v>Electronics</x:v>
      </x:c>
      <x:c r="F327" t="str">
        <x:v>South</x:v>
      </x:c>
      <x:c r="G327" t="str">
        <x:v>Partner</x:v>
      </x:c>
      <x:c r="H327" t="str">
        <x:v>Cancelled</x:v>
      </x:c>
      <x:c r="I327" t="n">
        <x:v>3</x:v>
      </x:c>
      <x:c r="J327" s="12" t="n">
        <x:v>88.81</x:v>
      </x:c>
      <x:c r="K327" s="12" t="n">
        <x:v>42.74</x:v>
      </x:c>
      <x:c r="L327" s="14" t="n">
        <x:v>0</x:v>
      </x:c>
      <x:c r="M327" s="12" t="n">
        <x:f>IF(H327="Completed",I327*J327*(1-L327),0)</x:f>
        <x:v>0</x:v>
      </x:c>
      <x:c r="N327" s="12" t="n">
        <x:f>IF(H327="Completed",I327*K327,0)</x:f>
        <x:v>0</x:v>
      </x:c>
      <x:c r="O327" s="12" t="n">
        <x:f>M327-N327</x:f>
        <x:v>0</x:v>
      </x:c>
      <x:c r="P327" s="16" t="n">
        <x:f>IFERROR(O327/M327,0)</x:f>
        <x:v>0</x:v>
      </x:c>
      <x:c r="Q327" t="n">
        <x:f>YEAR(B327)</x:f>
        <x:v>2024</x:v>
      </x:c>
      <x:c r="R327" t="str">
        <x:f>TEXT(B327,"yyyy-mm")</x:f>
        <x:v>2024-11</x:v>
      </x:c>
    </x:row>
    <x:row r="328">
      <x:c r="A328" t="n">
        <x:v>10481</x:v>
      </x:c>
      <x:c r="B328" s="10" t="n">
        <x:v>45615</x:v>
      </x:c>
      <x:c r="C328" t="str">
        <x:v>P007</x:v>
      </x:c>
      <x:c r="D328" t="str">
        <x:v>Headset</x:v>
      </x:c>
      <x:c r="E328" t="str">
        <x:v>Accessories</x:v>
      </x:c>
      <x:c r="F328" t="str">
        <x:v>North</x:v>
      </x:c>
      <x:c r="G328" t="str">
        <x:v>Online</x:v>
      </x:c>
      <x:c r="H328" t="str">
        <x:v>Completed</x:v>
      </x:c>
      <x:c r="I328" t="n">
        <x:v>2</x:v>
      </x:c>
      <x:c r="J328" s="12" t="n">
        <x:v>73.57</x:v>
      </x:c>
      <x:c r="K328" s="12" t="n">
        <x:v>35.06</x:v>
      </x:c>
      <x:c r="L328" s="14" t="n">
        <x:v>0.15</x:v>
      </x:c>
      <x:c r="M328" s="12" t="n">
        <x:f>IF(H328="Completed",I328*J328*(1-L328),0)</x:f>
        <x:v>125.06899999999999</x:v>
      </x:c>
      <x:c r="N328" s="12" t="n">
        <x:f>IF(H328="Completed",I328*K328,0)</x:f>
        <x:v>70.12</x:v>
      </x:c>
      <x:c r="O328" s="12" t="n">
        <x:f>M328-N328</x:f>
        <x:v>54.948999999999984</x:v>
      </x:c>
      <x:c r="P328" s="16" t="n">
        <x:f>IFERROR(O328/M328,0)</x:f>
        <x:v>0.43934947908754357</x:v>
      </x:c>
      <x:c r="Q328" t="n">
        <x:f>YEAR(B328)</x:f>
        <x:v>2024</x:v>
      </x:c>
      <x:c r="R328" t="str">
        <x:f>TEXT(B328,"yyyy-mm")</x:f>
        <x:v>2024-11</x:v>
      </x:c>
    </x:row>
    <x:row r="329">
      <x:c r="A329" t="n">
        <x:v>10223</x:v>
      </x:c>
      <x:c r="B329" s="10" t="n">
        <x:v>45616</x:v>
      </x:c>
      <x:c r="C329" t="str">
        <x:v>P008</x:v>
      </x:c>
      <x:c r="D329" t="str">
        <x:v>Webcam</x:v>
      </x:c>
      <x:c r="E329" t="str">
        <x:v>Electronics</x:v>
      </x:c>
      <x:c r="F329" t="str">
        <x:v>South</x:v>
      </x:c>
      <x:c r="G329" t="str">
        <x:v>Partner</x:v>
      </x:c>
      <x:c r="H329" t="str">
        <x:v>Completed</x:v>
      </x:c>
      <x:c r="I329" t="n">
        <x:v>3</x:v>
      </x:c>
      <x:c r="J329" s="12" t="n">
        <x:v>87.09</x:v>
      </x:c>
      <x:c r="K329" s="12" t="n">
        <x:v>42.58</x:v>
      </x:c>
      <x:c r="L329" s="14" t="n">
        <x:v>0</x:v>
      </x:c>
      <x:c r="M329" s="12" t="n">
        <x:f>IF(H329="Completed",I329*J329*(1-L329),0)</x:f>
        <x:v>261.27</x:v>
      </x:c>
      <x:c r="N329" s="12" t="n">
        <x:f>IF(H329="Completed",I329*K329,0)</x:f>
        <x:v>127.74</x:v>
      </x:c>
      <x:c r="O329" s="12" t="n">
        <x:f>M329-N329</x:f>
        <x:v>133.52999999999997</x:v>
      </x:c>
      <x:c r="P329" s="16" t="n">
        <x:f>IFERROR(O329/M329,0)</x:f>
        <x:v>0.5110804914456308</x:v>
      </x:c>
      <x:c r="Q329" t="n">
        <x:f>YEAR(B329)</x:f>
        <x:v>2024</x:v>
      </x:c>
      <x:c r="R329" t="str">
        <x:f>TEXT(B329,"yyyy-mm")</x:f>
        <x:v>2024-11</x:v>
      </x:c>
    </x:row>
    <x:row r="330">
      <x:c r="A330" t="n">
        <x:v>10736</x:v>
      </x:c>
      <x:c r="B330" s="10" t="n">
        <x:v>45616</x:v>
      </x:c>
      <x:c r="C330" t="str">
        <x:v>P003</x:v>
      </x:c>
      <x:c r="D330" t="str">
        <x:v>Keyboard</x:v>
      </x:c>
      <x:c r="E330" t="str">
        <x:v>Accessories</x:v>
      </x:c>
      <x:c r="F330" t="str">
        <x:v>Midlands</x:v>
      </x:c>
      <x:c r="G330" t="str">
        <x:v>Online</x:v>
      </x:c>
      <x:c r="H330" t="str">
        <x:v>Cancelled</x:v>
      </x:c>
      <x:c r="I330" t="n">
        <x:v>4</x:v>
      </x:c>
      <x:c r="J330" s="12" t="n">
        <x:v>47.65</x:v>
      </x:c>
      <x:c r="K330" s="12" t="n">
        <x:v>25.89</x:v>
      </x:c>
      <x:c r="L330" s="14" t="n">
        <x:v>0.15</x:v>
      </x:c>
      <x:c r="M330" s="12" t="n">
        <x:f>IF(H330="Completed",I330*J330*(1-L330),0)</x:f>
        <x:v>0</x:v>
      </x:c>
      <x:c r="N330" s="12" t="n">
        <x:f>IF(H330="Completed",I330*K330,0)</x:f>
        <x:v>0</x:v>
      </x:c>
      <x:c r="O330" s="12" t="n">
        <x:f>M330-N330</x:f>
        <x:v>0</x:v>
      </x:c>
      <x:c r="P330" s="16" t="n">
        <x:f>IFERROR(O330/M330,0)</x:f>
        <x:v>0</x:v>
      </x:c>
      <x:c r="Q330" t="n">
        <x:f>YEAR(B330)</x:f>
        <x:v>2024</x:v>
      </x:c>
      <x:c r="R330" t="str">
        <x:f>TEXT(B330,"yyyy-mm")</x:f>
        <x:v>2024-11</x:v>
      </x:c>
    </x:row>
    <x:row r="331">
      <x:c r="A331" t="n">
        <x:v>10660</x:v>
      </x:c>
      <x:c r="B331" s="10" t="n">
        <x:v>45617</x:v>
      </x:c>
      <x:c r="C331" t="str">
        <x:v>P007</x:v>
      </x:c>
      <x:c r="D331" t="str">
        <x:v>Headset</x:v>
      </x:c>
      <x:c r="E331" t="str">
        <x:v>Accessories</x:v>
      </x:c>
      <x:c r="F331" t="str">
        <x:v>Midlands</x:v>
      </x:c>
      <x:c r="G331" t="str">
        <x:v>Online</x:v>
      </x:c>
      <x:c r="H331" t="str">
        <x:v>Completed</x:v>
      </x:c>
      <x:c r="I331" t="n">
        <x:v>4</x:v>
      </x:c>
      <x:c r="J331" s="12" t="n">
        <x:v>70.54</x:v>
      </x:c>
      <x:c r="K331" s="12" t="n">
        <x:v>35.27</x:v>
      </x:c>
      <x:c r="L331" s="14" t="n">
        <x:v>0.05</x:v>
      </x:c>
      <x:c r="M331" s="12" t="n">
        <x:f>IF(H331="Completed",I331*J331*(1-L331),0)</x:f>
        <x:v>268.052</x:v>
      </x:c>
      <x:c r="N331" s="12" t="n">
        <x:f>IF(H331="Completed",I331*K331,0)</x:f>
        <x:v>141.08</x:v>
      </x:c>
      <x:c r="O331" s="12" t="n">
        <x:f>M331-N331</x:f>
        <x:v>126.97200000000001</x:v>
      </x:c>
      <x:c r="P331" s="16" t="n">
        <x:f>IFERROR(O331/M331,0)</x:f>
        <x:v>0.47368421052631576</x:v>
      </x:c>
      <x:c r="Q331" t="n">
        <x:f>YEAR(B331)</x:f>
        <x:v>2024</x:v>
      </x:c>
      <x:c r="R331" t="str">
        <x:f>TEXT(B331,"yyyy-mm")</x:f>
        <x:v>2024-11</x:v>
      </x:c>
    </x:row>
    <x:row r="332">
      <x:c r="A332" t="n">
        <x:v>10253</x:v>
      </x:c>
      <x:c r="B332" s="10" t="n">
        <x:v>45618</x:v>
      </x:c>
      <x:c r="C332" t="str">
        <x:v>P007</x:v>
      </x:c>
      <x:c r="D332" t="str">
        <x:v>Headset</x:v>
      </x:c>
      <x:c r="E332" t="str">
        <x:v>Accessories</x:v>
      </x:c>
      <x:c r="F332" t="str">
        <x:v>North</x:v>
      </x:c>
      <x:c r="G332" t="str">
        <x:v>Online</x:v>
      </x:c>
      <x:c r="H332" t="str">
        <x:v>Cancelled</x:v>
      </x:c>
      <x:c r="I332" t="n">
        <x:v>4</x:v>
      </x:c>
      <x:c r="J332" s="12" t="n">
        <x:v>71.05</x:v>
      </x:c>
      <x:c r="K332" s="12" t="n">
        <x:v>34.69</x:v>
      </x:c>
      <x:c r="L332" s="14" t="n">
        <x:v>0.05</x:v>
      </x:c>
      <x:c r="M332" s="12" t="n">
        <x:f>IF(H332="Completed",I332*J332*(1-L332),0)</x:f>
        <x:v>0</x:v>
      </x:c>
      <x:c r="N332" s="12" t="n">
        <x:f>IF(H332="Completed",I332*K332,0)</x:f>
        <x:v>0</x:v>
      </x:c>
      <x:c r="O332" s="12" t="n">
        <x:f>M332-N332</x:f>
        <x:v>0</x:v>
      </x:c>
      <x:c r="P332" s="16" t="n">
        <x:f>IFERROR(O332/M332,0)</x:f>
        <x:v>0</x:v>
      </x:c>
      <x:c r="Q332" t="n">
        <x:f>YEAR(B332)</x:f>
        <x:v>2024</x:v>
      </x:c>
      <x:c r="R332" t="str">
        <x:f>TEXT(B332,"yyyy-mm")</x:f>
        <x:v>2024-11</x:v>
      </x:c>
    </x:row>
    <x:row r="333">
      <x:c r="A333" t="n">
        <x:v>10194</x:v>
      </x:c>
      <x:c r="B333" s="10" t="n">
        <x:v>45619</x:v>
      </x:c>
      <x:c r="C333" t="str">
        <x:v>P006</x:v>
      </x:c>
      <x:c r="D333" t="str">
        <x:v>Chair</x:v>
      </x:c>
      <x:c r="E333" t="str">
        <x:v>Furniture</x:v>
      </x:c>
      <x:c r="F333" t="str">
        <x:v>South</x:v>
      </x:c>
      <x:c r="G333" t="str">
        <x:v>Online</x:v>
      </x:c>
      <x:c r="H333" t="str">
        <x:v>Completed</x:v>
      </x:c>
      <x:c r="I333" t="n">
        <x:v>1</x:v>
      </x:c>
      <x:c r="J333" s="12" t="n">
        <x:v>137.68</x:v>
      </x:c>
      <x:c r="K333" s="12" t="n">
        <x:v>69.79</x:v>
      </x:c>
      <x:c r="L333" s="14" t="n">
        <x:v>0</x:v>
      </x:c>
      <x:c r="M333" s="12" t="n">
        <x:f>IF(H333="Completed",I333*J333*(1-L333),0)</x:f>
        <x:v>137.68</x:v>
      </x:c>
      <x:c r="N333" s="12" t="n">
        <x:f>IF(H333="Completed",I333*K333,0)</x:f>
        <x:v>69.79</x:v>
      </x:c>
      <x:c r="O333" s="12" t="n">
        <x:f>M333-N333</x:f>
        <x:v>67.89</x:v>
      </x:c>
      <x:c r="P333" s="16" t="n">
        <x:f>IFERROR(O333/M333,0)</x:f>
        <x:v>0.4930999418942475</x:v>
      </x:c>
      <x:c r="Q333" t="n">
        <x:f>YEAR(B333)</x:f>
        <x:v>2024</x:v>
      </x:c>
      <x:c r="R333" t="str">
        <x:f>TEXT(B333,"yyyy-mm")</x:f>
        <x:v>2024-11</x:v>
      </x:c>
    </x:row>
    <x:row r="334">
      <x:c r="A334" t="n">
        <x:v>10341</x:v>
      </x:c>
      <x:c r="B334" s="10" t="n">
        <x:v>45621</x:v>
      </x:c>
      <x:c r="C334" t="str">
        <x:v>P004</x:v>
      </x:c>
      <x:c r="D334" t="str">
        <x:v>Mouse</x:v>
      </x:c>
      <x:c r="E334" t="str">
        <x:v>Accessories</x:v>
      </x:c>
      <x:c r="F334" t="str">
        <x:v>Wales</x:v>
      </x:c>
      <x:c r="G334" t="str">
        <x:v>Online</x:v>
      </x:c>
      <x:c r="H334" t="str">
        <x:v>Completed</x:v>
      </x:c>
      <x:c r="I334" t="n">
        <x:v>4</x:v>
      </x:c>
      <x:c r="J334" s="12" t="n">
        <x:v>26.89</x:v>
      </x:c>
      <x:c r="K334" s="12" t="n">
        <x:v>13.07</x:v>
      </x:c>
      <x:c r="L334" s="14" t="n">
        <x:v>0.1</x:v>
      </x:c>
      <x:c r="M334" s="12" t="n">
        <x:f>IF(H334="Completed",I334*J334*(1-L334),0)</x:f>
        <x:v>96.804</x:v>
      </x:c>
      <x:c r="N334" s="12" t="n">
        <x:f>IF(H334="Completed",I334*K334,0)</x:f>
        <x:v>52.28</x:v>
      </x:c>
      <x:c r="O334" s="12" t="n">
        <x:f>M334-N334</x:f>
        <x:v>44.524</x:v>
      </x:c>
      <x:c r="P334" s="16" t="n">
        <x:f>IFERROR(O334/M334,0)</x:f>
        <x:v>0.45993967191438373</x:v>
      </x:c>
      <x:c r="Q334" t="n">
        <x:f>YEAR(B334)</x:f>
        <x:v>2024</x:v>
      </x:c>
      <x:c r="R334" t="str">
        <x:f>TEXT(B334,"yyyy-mm")</x:f>
        <x:v>2024-11</x:v>
      </x:c>
    </x:row>
    <x:row r="335">
      <x:c r="A335" t="n">
        <x:v>10418</x:v>
      </x:c>
      <x:c r="B335" s="10" t="n">
        <x:v>45621</x:v>
      </x:c>
      <x:c r="C335" t="str">
        <x:v>P004</x:v>
      </x:c>
      <x:c r="D335" t="str">
        <x:v>Mouse</x:v>
      </x:c>
      <x:c r="E335" t="str">
        <x:v>Accessories</x:v>
      </x:c>
      <x:c r="F335" t="str">
        <x:v>South</x:v>
      </x:c>
      <x:c r="G335" t="str">
        <x:v>Retail</x:v>
      </x:c>
      <x:c r="H335" t="str">
        <x:v>Completed</x:v>
      </x:c>
      <x:c r="I335" t="n">
        <x:v>1</x:v>
      </x:c>
      <x:c r="J335" s="12" t="n">
        <x:v>27.5</x:v>
      </x:c>
      <x:c r="K335" s="12" t="n">
        <x:v>12.96</x:v>
      </x:c>
      <x:c r="L335" s="14" t="n">
        <x:v>0</x:v>
      </x:c>
      <x:c r="M335" s="12" t="n">
        <x:f>IF(H335="Completed",I335*J335*(1-L335),0)</x:f>
        <x:v>27.5</x:v>
      </x:c>
      <x:c r="N335" s="12" t="n">
        <x:f>IF(H335="Completed",I335*K335,0)</x:f>
        <x:v>12.96</x:v>
      </x:c>
      <x:c r="O335" s="12" t="n">
        <x:f>M335-N335</x:f>
        <x:v>14.54</x:v>
      </x:c>
      <x:c r="P335" s="16" t="n">
        <x:f>IFERROR(O335/M335,0)</x:f>
        <x:v>0.5287272727272727</x:v>
      </x:c>
      <x:c r="Q335" t="n">
        <x:f>YEAR(B335)</x:f>
        <x:v>2024</x:v>
      </x:c>
      <x:c r="R335" t="str">
        <x:f>TEXT(B335,"yyyy-mm")</x:f>
        <x:v>2024-11</x:v>
      </x:c>
    </x:row>
    <x:row r="336">
      <x:c r="A336" t="n">
        <x:v>10564</x:v>
      </x:c>
      <x:c r="B336" s="10" t="n">
        <x:v>45623</x:v>
      </x:c>
      <x:c r="C336" t="str">
        <x:v>P008</x:v>
      </x:c>
      <x:c r="D336" t="str">
        <x:v>Webcam</x:v>
      </x:c>
      <x:c r="E336" t="str">
        <x:v>Electronics</x:v>
      </x:c>
      <x:c r="F336" t="str">
        <x:v>Scotland</x:v>
      </x:c>
      <x:c r="G336" t="str">
        <x:v>Retail</x:v>
      </x:c>
      <x:c r="H336" t="str">
        <x:v>Cancelled</x:v>
      </x:c>
      <x:c r="I336" t="n">
        <x:v>3</x:v>
      </x:c>
      <x:c r="J336" s="12" t="n">
        <x:v>86.76</x:v>
      </x:c>
      <x:c r="K336" s="12" t="n">
        <x:v>41.49</x:v>
      </x:c>
      <x:c r="L336" s="14" t="n">
        <x:v>0</x:v>
      </x:c>
      <x:c r="M336" s="12" t="n">
        <x:f>IF(H336="Completed",I336*J336*(1-L336),0)</x:f>
        <x:v>0</x:v>
      </x:c>
      <x:c r="N336" s="12" t="n">
        <x:f>IF(H336="Completed",I336*K336,0)</x:f>
        <x:v>0</x:v>
      </x:c>
      <x:c r="O336" s="12" t="n">
        <x:f>M336-N336</x:f>
        <x:v>0</x:v>
      </x:c>
      <x:c r="P336" s="16" t="n">
        <x:f>IFERROR(O336/M336,0)</x:f>
        <x:v>0</x:v>
      </x:c>
      <x:c r="Q336" t="n">
        <x:f>YEAR(B336)</x:f>
        <x:v>2024</x:v>
      </x:c>
      <x:c r="R336" t="str">
        <x:f>TEXT(B336,"yyyy-mm")</x:f>
        <x:v>2024-11</x:v>
      </x:c>
    </x:row>
    <x:row r="337">
      <x:c r="A337" t="n">
        <x:v>10615</x:v>
      </x:c>
      <x:c r="B337" s="10" t="n">
        <x:v>45623</x:v>
      </x:c>
      <x:c r="C337" t="str">
        <x:v>P008</x:v>
      </x:c>
      <x:c r="D337" t="str">
        <x:v>Webcam</x:v>
      </x:c>
      <x:c r="E337" t="str">
        <x:v>Electronics</x:v>
      </x:c>
      <x:c r="F337" t="str">
        <x:v>North</x:v>
      </x:c>
      <x:c r="G337" t="str">
        <x:v>Retail</x:v>
      </x:c>
      <x:c r="H337" t="str">
        <x:v>Completed</x:v>
      </x:c>
      <x:c r="I337" t="n">
        <x:v>1</x:v>
      </x:c>
      <x:c r="J337" s="12" t="n">
        <x:v>86.89</x:v>
      </x:c>
      <x:c r="K337" s="12" t="n">
        <x:v>41.84</x:v>
      </x:c>
      <x:c r="L337" s="14" t="n">
        <x:v>0.05</x:v>
      </x:c>
      <x:c r="M337" s="12" t="n">
        <x:f>IF(H337="Completed",I337*J337*(1-L337),0)</x:f>
        <x:v>82.54549999999999</x:v>
      </x:c>
      <x:c r="N337" s="12" t="n">
        <x:f>IF(H337="Completed",I337*K337,0)</x:f>
        <x:v>41.84</x:v>
      </x:c>
      <x:c r="O337" s="12" t="n">
        <x:f>M337-N337</x:f>
        <x:v>40.70549999999999</x:v>
      </x:c>
      <x:c r="P337" s="16" t="n">
        <x:f>IFERROR(O337/M337,0)</x:f>
        <x:v>0.49312803241848424</x:v>
      </x:c>
      <x:c r="Q337" t="n">
        <x:f>YEAR(B337)</x:f>
        <x:v>2024</x:v>
      </x:c>
      <x:c r="R337" t="str">
        <x:f>TEXT(B337,"yyyy-mm")</x:f>
        <x:v>2024-11</x:v>
      </x:c>
    </x:row>
    <x:row r="338">
      <x:c r="A338" t="n">
        <x:v>10651</x:v>
      </x:c>
      <x:c r="B338" s="10" t="n">
        <x:v>45625</x:v>
      </x:c>
      <x:c r="C338" t="str">
        <x:v>P002</x:v>
      </x:c>
      <x:c r="D338" t="str">
        <x:v>Monitor</x:v>
      </x:c>
      <x:c r="E338" t="str">
        <x:v>Electronics</x:v>
      </x:c>
      <x:c r="F338" t="str">
        <x:v>South</x:v>
      </x:c>
      <x:c r="G338" t="str">
        <x:v>Online</x:v>
      </x:c>
      <x:c r="H338" t="str">
        <x:v>Completed</x:v>
      </x:c>
      <x:c r="I338" t="n">
        <x:v>3</x:v>
      </x:c>
      <x:c r="J338" s="12" t="n">
        <x:v>288.84</x:v>
      </x:c>
      <x:c r="K338" s="12" t="n">
        <x:v>171.26</x:v>
      </x:c>
      <x:c r="L338" s="14" t="n">
        <x:v>0</x:v>
      </x:c>
      <x:c r="M338" s="12" t="n">
        <x:f>IF(H338="Completed",I338*J338*(1-L338),0)</x:f>
        <x:v>866.52</x:v>
      </x:c>
      <x:c r="N338" s="12" t="n">
        <x:f>IF(H338="Completed",I338*K338,0)</x:f>
        <x:v>513.78</x:v>
      </x:c>
      <x:c r="O338" s="12" t="n">
        <x:f>M338-N338</x:f>
        <x:v>352.74</x:v>
      </x:c>
      <x:c r="P338" s="16" t="n">
        <x:f>IFERROR(O338/M338,0)</x:f>
        <x:v>0.4070765821908323</x:v>
      </x:c>
      <x:c r="Q338" t="n">
        <x:f>YEAR(B338)</x:f>
        <x:v>2024</x:v>
      </x:c>
      <x:c r="R338" t="str">
        <x:f>TEXT(B338,"yyyy-mm")</x:f>
        <x:v>2024-11</x:v>
      </x:c>
    </x:row>
    <x:row r="339">
      <x:c r="A339" t="n">
        <x:v>10654</x:v>
      </x:c>
      <x:c r="B339" s="10" t="n">
        <x:v>45625</x:v>
      </x:c>
      <x:c r="C339" t="str">
        <x:v>P002</x:v>
      </x:c>
      <x:c r="D339" t="str">
        <x:v>Monitor</x:v>
      </x:c>
      <x:c r="E339" t="str">
        <x:v>Electronics</x:v>
      </x:c>
      <x:c r="F339" t="str">
        <x:v>North</x:v>
      </x:c>
      <x:c r="G339" t="str">
        <x:v>Partner</x:v>
      </x:c>
      <x:c r="H339" t="str">
        <x:v>Completed</x:v>
      </x:c>
      <x:c r="I339" t="n">
        <x:v>4</x:v>
      </x:c>
      <x:c r="J339" s="12" t="n">
        <x:v>278.62</x:v>
      </x:c>
      <x:c r="K339" s="12" t="n">
        <x:v>173.52</x:v>
      </x:c>
      <x:c r="L339" s="14" t="n">
        <x:v>0.1</x:v>
      </x:c>
      <x:c r="M339" s="12" t="n">
        <x:f>IF(H339="Completed",I339*J339*(1-L339),0)</x:f>
        <x:v>1003.032</x:v>
      </x:c>
      <x:c r="N339" s="12" t="n">
        <x:f>IF(H339="Completed",I339*K339,0)</x:f>
        <x:v>694.08</x:v>
      </x:c>
      <x:c r="O339" s="12" t="n">
        <x:f>M339-N339</x:f>
        <x:v>308.952</x:v>
      </x:c>
      <x:c r="P339" s="16" t="n">
        <x:f>IFERROR(O339/M339,0)</x:f>
        <x:v>0.308018089153686</x:v>
      </x:c>
      <x:c r="Q339" t="n">
        <x:f>YEAR(B339)</x:f>
        <x:v>2024</x:v>
      </x:c>
      <x:c r="R339" t="str">
        <x:f>TEXT(B339,"yyyy-mm")</x:f>
        <x:v>2024-11</x:v>
      </x:c>
    </x:row>
    <x:row r="340">
      <x:c r="A340" t="n">
        <x:v>10889</x:v>
      </x:c>
      <x:c r="B340" s="10" t="n">
        <x:v>45625</x:v>
      </x:c>
      <x:c r="C340" t="str">
        <x:v>P002</x:v>
      </x:c>
      <x:c r="D340" t="str">
        <x:v>Monitor</x:v>
      </x:c>
      <x:c r="E340" t="str">
        <x:v>Electronics</x:v>
      </x:c>
      <x:c r="F340" t="str">
        <x:v>Midlands</x:v>
      </x:c>
      <x:c r="G340" t="str">
        <x:v>Partner</x:v>
      </x:c>
      <x:c r="H340" t="str">
        <x:v>Completed</x:v>
      </x:c>
      <x:c r="I340" t="n">
        <x:v>4</x:v>
      </x:c>
      <x:c r="J340" s="12" t="n">
        <x:v>277.36</x:v>
      </x:c>
      <x:c r="K340" s="12" t="n">
        <x:v>172.3</x:v>
      </x:c>
      <x:c r="L340" s="14" t="n">
        <x:v>0.1</x:v>
      </x:c>
      <x:c r="M340" s="12" t="n">
        <x:f>IF(H340="Completed",I340*J340*(1-L340),0)</x:f>
        <x:v>998.4960000000001</x:v>
      </x:c>
      <x:c r="N340" s="12" t="n">
        <x:f>IF(H340="Completed",I340*K340,0)</x:f>
        <x:v>689.2</x:v>
      </x:c>
      <x:c r="O340" s="12" t="n">
        <x:f>M340-N340</x:f>
        <x:v>309.29600000000005</x:v>
      </x:c>
      <x:c r="P340" s="16" t="n">
        <x:f>IFERROR(O340/M340,0)</x:f>
        <x:v>0.309761881870333</x:v>
      </x:c>
      <x:c r="Q340" t="n">
        <x:f>YEAR(B340)</x:f>
        <x:v>2024</x:v>
      </x:c>
      <x:c r="R340" t="str">
        <x:f>TEXT(B340,"yyyy-mm")</x:f>
        <x:v>2024-11</x:v>
      </x:c>
    </x:row>
    <x:row r="341">
      <x:c r="A341" t="n">
        <x:v>10689</x:v>
      </x:c>
      <x:c r="B341" s="10" t="n">
        <x:v>45629</x:v>
      </x:c>
      <x:c r="C341" t="str">
        <x:v>P007</x:v>
      </x:c>
      <x:c r="D341" t="str">
        <x:v>Headset</x:v>
      </x:c>
      <x:c r="E341" t="str">
        <x:v>Accessories</x:v>
      </x:c>
      <x:c r="F341" t="str">
        <x:v>South</x:v>
      </x:c>
      <x:c r="G341" t="str">
        <x:v>Partner</x:v>
      </x:c>
      <x:c r="H341" t="str">
        <x:v>Completed</x:v>
      </x:c>
      <x:c r="I341" t="n">
        <x:v>1</x:v>
      </x:c>
      <x:c r="J341" s="12" t="n">
        <x:v>72.04</x:v>
      </x:c>
      <x:c r="K341" s="12" t="n">
        <x:v>35.78</x:v>
      </x:c>
      <x:c r="L341" s="14" t="n">
        <x:v>0.05</x:v>
      </x:c>
      <x:c r="M341" s="12" t="n">
        <x:f>IF(H341="Completed",I341*J341*(1-L341),0)</x:f>
        <x:v>68.438</x:v>
      </x:c>
      <x:c r="N341" s="12" t="n">
        <x:f>IF(H341="Completed",I341*K341,0)</x:f>
        <x:v>35.78</x:v>
      </x:c>
      <x:c r="O341" s="12" t="n">
        <x:f>M341-N341</x:f>
        <x:v>32.658</x:v>
      </x:c>
      <x:c r="P341" s="16" t="n">
        <x:f>IFERROR(O341/M341,0)</x:f>
        <x:v>0.47719103422075454</x:v>
      </x:c>
      <x:c r="Q341" t="n">
        <x:f>YEAR(B341)</x:f>
        <x:v>2024</x:v>
      </x:c>
      <x:c r="R341" t="str">
        <x:f>TEXT(B341,"yyyy-mm")</x:f>
        <x:v>2024-12</x:v>
      </x:c>
    </x:row>
    <x:row r="342">
      <x:c r="A342" t="n">
        <x:v>10919</x:v>
      </x:c>
      <x:c r="B342" s="10" t="n">
        <x:v>45629</x:v>
      </x:c>
      <x:c r="C342" t="str">
        <x:v>P005</x:v>
      </x:c>
      <x:c r="D342" t="str">
        <x:v>Desk</x:v>
      </x:c>
      <x:c r="E342" t="str">
        <x:v>Furniture</x:v>
      </x:c>
      <x:c r="F342" t="str">
        <x:v>South</x:v>
      </x:c>
      <x:c r="G342" t="str">
        <x:v>Online</x:v>
      </x:c>
      <x:c r="H342" t="str">
        <x:v>Completed</x:v>
      </x:c>
      <x:c r="I342" t="n">
        <x:v>1</x:v>
      </x:c>
      <x:c r="J342" s="12" t="n">
        <x:v>282.31</x:v>
      </x:c>
      <x:c r="K342" s="12" t="n">
        <x:v>156.49</x:v>
      </x:c>
      <x:c r="L342" s="14" t="n">
        <x:v>0.05</x:v>
      </x:c>
      <x:c r="M342" s="12" t="n">
        <x:f>IF(H342="Completed",I342*J342*(1-L342),0)</x:f>
        <x:v>268.1945</x:v>
      </x:c>
      <x:c r="N342" s="12" t="n">
        <x:f>IF(H342="Completed",I342*K342,0)</x:f>
        <x:v>156.49</x:v>
      </x:c>
      <x:c r="O342" s="12" t="n">
        <x:f>M342-N342</x:f>
        <x:v>111.7045</x:v>
      </x:c>
      <x:c r="P342" s="16" t="n">
        <x:f>IFERROR(O342/M342,0)</x:f>
        <x:v>0.41650555846596404</x:v>
      </x:c>
      <x:c r="Q342" t="n">
        <x:f>YEAR(B342)</x:f>
        <x:v>2024</x:v>
      </x:c>
      <x:c r="R342" t="str">
        <x:f>TEXT(B342,"yyyy-mm")</x:f>
        <x:v>2024-12</x:v>
      </x:c>
    </x:row>
    <x:row r="343">
      <x:c r="A343" t="n">
        <x:v>10461</x:v>
      </x:c>
      <x:c r="B343" s="10" t="n">
        <x:v>45630</x:v>
      </x:c>
      <x:c r="C343" t="str">
        <x:v>P008</x:v>
      </x:c>
      <x:c r="D343" t="str">
        <x:v>Webcam</x:v>
      </x:c>
      <x:c r="E343" t="str">
        <x:v>Electronics</x:v>
      </x:c>
      <x:c r="F343" t="str">
        <x:v>North</x:v>
      </x:c>
      <x:c r="G343" t="str">
        <x:v>Partner</x:v>
      </x:c>
      <x:c r="H343" t="str">
        <x:v>Cancelled</x:v>
      </x:c>
      <x:c r="I343" t="n">
        <x:v>2</x:v>
      </x:c>
      <x:c r="J343" s="12" t="n">
        <x:v>91.15</x:v>
      </x:c>
      <x:c r="K343" s="12" t="n">
        <x:v>42.47</x:v>
      </x:c>
      <x:c r="L343" s="14" t="n">
        <x:v>0</x:v>
      </x:c>
      <x:c r="M343" s="12" t="n">
        <x:f>IF(H343="Completed",I343*J343*(1-L343),0)</x:f>
        <x:v>0</x:v>
      </x:c>
      <x:c r="N343" s="12" t="n">
        <x:f>IF(H343="Completed",I343*K343,0)</x:f>
        <x:v>0</x:v>
      </x:c>
      <x:c r="O343" s="12" t="n">
        <x:f>M343-N343</x:f>
        <x:v>0</x:v>
      </x:c>
      <x:c r="P343" s="16" t="n">
        <x:f>IFERROR(O343/M343,0)</x:f>
        <x:v>0</x:v>
      </x:c>
      <x:c r="Q343" t="n">
        <x:f>YEAR(B343)</x:f>
        <x:v>2024</x:v>
      </x:c>
      <x:c r="R343" t="str">
        <x:f>TEXT(B343,"yyyy-mm")</x:f>
        <x:v>2024-12</x:v>
      </x:c>
    </x:row>
    <x:row r="344">
      <x:c r="A344" t="n">
        <x:v>10479</x:v>
      </x:c>
      <x:c r="B344" s="10" t="n">
        <x:v>45630</x:v>
      </x:c>
      <x:c r="C344" t="str">
        <x:v>P006</x:v>
      </x:c>
      <x:c r="D344" t="str">
        <x:v>Chair</x:v>
      </x:c>
      <x:c r="E344" t="str">
        <x:v>Furniture</x:v>
      </x:c>
      <x:c r="F344" t="str">
        <x:v>South</x:v>
      </x:c>
      <x:c r="G344" t="str">
        <x:v>Online</x:v>
      </x:c>
      <x:c r="H344" t="str">
        <x:v>Completed</x:v>
      </x:c>
      <x:c r="I344" t="n">
        <x:v>2</x:v>
      </x:c>
      <x:c r="J344" s="12" t="n">
        <x:v>131.61</x:v>
      </x:c>
      <x:c r="K344" s="12" t="n">
        <x:v>67.3</x:v>
      </x:c>
      <x:c r="L344" s="14" t="n">
        <x:v>0.1</x:v>
      </x:c>
      <x:c r="M344" s="12" t="n">
        <x:f>IF(H344="Completed",I344*J344*(1-L344),0)</x:f>
        <x:v>236.89800000000002</x:v>
      </x:c>
      <x:c r="N344" s="12" t="n">
        <x:f>IF(H344="Completed",I344*K344,0)</x:f>
        <x:v>134.6</x:v>
      </x:c>
      <x:c r="O344" s="12" t="n">
        <x:f>M344-N344</x:f>
        <x:v>102.29800000000003</x:v>
      </x:c>
      <x:c r="P344" s="16" t="n">
        <x:f>IFERROR(O344/M344,0)</x:f>
        <x:v>0.43182297866592384</x:v>
      </x:c>
      <x:c r="Q344" t="n">
        <x:f>YEAR(B344)</x:f>
        <x:v>2024</x:v>
      </x:c>
      <x:c r="R344" t="str">
        <x:f>TEXT(B344,"yyyy-mm")</x:f>
        <x:v>2024-12</x:v>
      </x:c>
    </x:row>
    <x:row r="345">
      <x:c r="A345" t="n">
        <x:v>10358</x:v>
      </x:c>
      <x:c r="B345" s="10" t="n">
        <x:v>45631</x:v>
      </x:c>
      <x:c r="C345" t="str">
        <x:v>P002</x:v>
      </x:c>
      <x:c r="D345" t="str">
        <x:v>Monitor</x:v>
      </x:c>
      <x:c r="E345" t="str">
        <x:v>Electronics</x:v>
      </x:c>
      <x:c r="F345" t="str">
        <x:v>Wales</x:v>
      </x:c>
      <x:c r="G345" t="str">
        <x:v>Online</x:v>
      </x:c>
      <x:c r="H345" t="str">
        <x:v>Cancelled</x:v>
      </x:c>
      <x:c r="I345" t="n">
        <x:v>1</x:v>
      </x:c>
      <x:c r="J345" s="12" t="n">
        <x:v>292.84</x:v>
      </x:c>
      <x:c r="K345" s="12" t="n">
        <x:v>169.96</x:v>
      </x:c>
      <x:c r="L345" s="14" t="n">
        <x:v>0.05</x:v>
      </x:c>
      <x:c r="M345" s="12" t="n">
        <x:f>IF(H345="Completed",I345*J345*(1-L345),0)</x:f>
        <x:v>0</x:v>
      </x:c>
      <x:c r="N345" s="12" t="n">
        <x:f>IF(H345="Completed",I345*K345,0)</x:f>
        <x:v>0</x:v>
      </x:c>
      <x:c r="O345" s="12" t="n">
        <x:f>M345-N345</x:f>
        <x:v>0</x:v>
      </x:c>
      <x:c r="P345" s="16" t="n">
        <x:f>IFERROR(O345/M345,0)</x:f>
        <x:v>0</x:v>
      </x:c>
      <x:c r="Q345" t="n">
        <x:f>YEAR(B345)</x:f>
        <x:v>2024</x:v>
      </x:c>
      <x:c r="R345" t="str">
        <x:f>TEXT(B345,"yyyy-mm")</x:f>
        <x:v>2024-12</x:v>
      </x:c>
    </x:row>
    <x:row r="346">
      <x:c r="A346" t="n">
        <x:v>10464</x:v>
      </x:c>
      <x:c r="B346" s="10" t="n">
        <x:v>45631</x:v>
      </x:c>
      <x:c r="C346" t="str">
        <x:v>P006</x:v>
      </x:c>
      <x:c r="D346" t="str">
        <x:v>Chair</x:v>
      </x:c>
      <x:c r="E346" t="str">
        <x:v>Furniture</x:v>
      </x:c>
      <x:c r="F346" t="str">
        <x:v>Midlands</x:v>
      </x:c>
      <x:c r="G346" t="str">
        <x:v>Partner</x:v>
      </x:c>
      <x:c r="H346" t="str">
        <x:v>Cancelled</x:v>
      </x:c>
      <x:c r="I346" t="n">
        <x:v>3</x:v>
      </x:c>
      <x:c r="J346" s="12" t="n">
        <x:v>135.44</x:v>
      </x:c>
      <x:c r="K346" s="12" t="n">
        <x:v>68.55</x:v>
      </x:c>
      <x:c r="L346" s="14" t="n">
        <x:v>0.1</x:v>
      </x:c>
      <x:c r="M346" s="12" t="n">
        <x:f>IF(H346="Completed",I346*J346*(1-L346),0)</x:f>
        <x:v>0</x:v>
      </x:c>
      <x:c r="N346" s="12" t="n">
        <x:f>IF(H346="Completed",I346*K346,0)</x:f>
        <x:v>0</x:v>
      </x:c>
      <x:c r="O346" s="12" t="n">
        <x:f>M346-N346</x:f>
        <x:v>0</x:v>
      </x:c>
      <x:c r="P346" s="16" t="n">
        <x:f>IFERROR(O346/M346,0)</x:f>
        <x:v>0</x:v>
      </x:c>
      <x:c r="Q346" t="n">
        <x:f>YEAR(B346)</x:f>
        <x:v>2024</x:v>
      </x:c>
      <x:c r="R346" t="str">
        <x:f>TEXT(B346,"yyyy-mm")</x:f>
        <x:v>2024-12</x:v>
      </x:c>
    </x:row>
    <x:row r="347">
      <x:c r="A347" t="n">
        <x:v>10635</x:v>
      </x:c>
      <x:c r="B347" s="10" t="n">
        <x:v>45631</x:v>
      </x:c>
      <x:c r="C347" t="str">
        <x:v>P006</x:v>
      </x:c>
      <x:c r="D347" t="str">
        <x:v>Chair</x:v>
      </x:c>
      <x:c r="E347" t="str">
        <x:v>Furniture</x:v>
      </x:c>
      <x:c r="F347" t="str">
        <x:v>Wales</x:v>
      </x:c>
      <x:c r="G347" t="str">
        <x:v>Online</x:v>
      </x:c>
      <x:c r="H347" t="str">
        <x:v>Completed</x:v>
      </x:c>
      <x:c r="I347" t="n">
        <x:v>1</x:v>
      </x:c>
      <x:c r="J347" s="12" t="n">
        <x:v>140.25</x:v>
      </x:c>
      <x:c r="K347" s="12" t="n">
        <x:v>68.77</x:v>
      </x:c>
      <x:c r="L347" s="14" t="n">
        <x:v>0</x:v>
      </x:c>
      <x:c r="M347" s="12" t="n">
        <x:f>IF(H347="Completed",I347*J347*(1-L347),0)</x:f>
        <x:v>140.25</x:v>
      </x:c>
      <x:c r="N347" s="12" t="n">
        <x:f>IF(H347="Completed",I347*K347,0)</x:f>
        <x:v>68.77</x:v>
      </x:c>
      <x:c r="O347" s="12" t="n">
        <x:f>M347-N347</x:f>
        <x:v>71.48</x:v>
      </x:c>
      <x:c r="P347" s="16" t="n">
        <x:f>IFERROR(O347/M347,0)</x:f>
        <x:v>0.5096613190730838</x:v>
      </x:c>
      <x:c r="Q347" t="n">
        <x:f>YEAR(B347)</x:f>
        <x:v>2024</x:v>
      </x:c>
      <x:c r="R347" t="str">
        <x:f>TEXT(B347,"yyyy-mm")</x:f>
        <x:v>2024-12</x:v>
      </x:c>
    </x:row>
    <x:row r="348">
      <x:c r="A348" t="n">
        <x:v>10809</x:v>
      </x:c>
      <x:c r="B348" s="10" t="n">
        <x:v>45632</x:v>
      </x:c>
      <x:c r="C348" t="str">
        <x:v>P007</x:v>
      </x:c>
      <x:c r="D348" t="str">
        <x:v>Headset</x:v>
      </x:c>
      <x:c r="E348" t="str">
        <x:v>Accessories</x:v>
      </x:c>
      <x:c r="F348" t="str">
        <x:v>Scotland</x:v>
      </x:c>
      <x:c r="G348" t="str">
        <x:v>Retail</x:v>
      </x:c>
      <x:c r="H348" t="str">
        <x:v>Cancelled</x:v>
      </x:c>
      <x:c r="I348" t="n">
        <x:v>1</x:v>
      </x:c>
      <x:c r="J348" s="12" t="n">
        <x:v>71.61</x:v>
      </x:c>
      <x:c r="K348" s="12" t="n">
        <x:v>35.35</x:v>
      </x:c>
      <x:c r="L348" s="14" t="n">
        <x:v>0</x:v>
      </x:c>
      <x:c r="M348" s="12" t="n">
        <x:f>IF(H348="Completed",I348*J348*(1-L348),0)</x:f>
        <x:v>0</x:v>
      </x:c>
      <x:c r="N348" s="12" t="n">
        <x:f>IF(H348="Completed",I348*K348,0)</x:f>
        <x:v>0</x:v>
      </x:c>
      <x:c r="O348" s="12" t="n">
        <x:f>M348-N348</x:f>
        <x:v>0</x:v>
      </x:c>
      <x:c r="P348" s="16" t="n">
        <x:f>IFERROR(O348/M348,0)</x:f>
        <x:v>0</x:v>
      </x:c>
      <x:c r="Q348" t="n">
        <x:f>YEAR(B348)</x:f>
        <x:v>2024</x:v>
      </x:c>
      <x:c r="R348" t="str">
        <x:f>TEXT(B348,"yyyy-mm")</x:f>
        <x:v>2024-12</x:v>
      </x:c>
    </x:row>
    <x:row r="349">
      <x:c r="A349" t="n">
        <x:v>10598</x:v>
      </x:c>
      <x:c r="B349" s="10" t="n">
        <x:v>45633</x:v>
      </x:c>
      <x:c r="C349" t="str">
        <x:v>P008</x:v>
      </x:c>
      <x:c r="D349" t="str">
        <x:v>Webcam</x:v>
      </x:c>
      <x:c r="E349" t="str">
        <x:v>Electronics</x:v>
      </x:c>
      <x:c r="F349" t="str">
        <x:v>Scotland</x:v>
      </x:c>
      <x:c r="G349" t="str">
        <x:v>Online</x:v>
      </x:c>
      <x:c r="H349" t="str">
        <x:v>Completed</x:v>
      </x:c>
      <x:c r="I349" t="n">
        <x:v>4</x:v>
      </x:c>
      <x:c r="J349" s="12" t="n">
        <x:v>90.23</x:v>
      </x:c>
      <x:c r="K349" s="12" t="n">
        <x:v>41.66</x:v>
      </x:c>
      <x:c r="L349" s="14" t="n">
        <x:v>0</x:v>
      </x:c>
      <x:c r="M349" s="12" t="n">
        <x:f>IF(H349="Completed",I349*J349*(1-L349),0)</x:f>
        <x:v>360.92</x:v>
      </x:c>
      <x:c r="N349" s="12" t="n">
        <x:f>IF(H349="Completed",I349*K349,0)</x:f>
        <x:v>166.64</x:v>
      </x:c>
      <x:c r="O349" s="12" t="n">
        <x:f>M349-N349</x:f>
        <x:v>194.28000000000003</x:v>
      </x:c>
      <x:c r="P349" s="16" t="n">
        <x:f>IFERROR(O349/M349,0)</x:f>
        <x:v>0.5382910340241606</x:v>
      </x:c>
      <x:c r="Q349" t="n">
        <x:f>YEAR(B349)</x:f>
        <x:v>2024</x:v>
      </x:c>
      <x:c r="R349" t="str">
        <x:f>TEXT(B349,"yyyy-mm")</x:f>
        <x:v>2024-12</x:v>
      </x:c>
    </x:row>
    <x:row r="350">
      <x:c r="A350" t="n">
        <x:v>10918</x:v>
      </x:c>
      <x:c r="B350" s="10" t="n">
        <x:v>45634</x:v>
      </x:c>
      <x:c r="C350" t="str">
        <x:v>P002</x:v>
      </x:c>
      <x:c r="D350" t="str">
        <x:v>Monitor</x:v>
      </x:c>
      <x:c r="E350" t="str">
        <x:v>Electronics</x:v>
      </x:c>
      <x:c r="F350" t="str">
        <x:v>Wales</x:v>
      </x:c>
      <x:c r="G350" t="str">
        <x:v>Online</x:v>
      </x:c>
      <x:c r="H350" t="str">
        <x:v>Completed</x:v>
      </x:c>
      <x:c r="I350" t="n">
        <x:v>1</x:v>
      </x:c>
      <x:c r="J350" s="12" t="n">
        <x:v>294.74</x:v>
      </x:c>
      <x:c r="K350" s="12" t="n">
        <x:v>168.27</x:v>
      </x:c>
      <x:c r="L350" s="14" t="n">
        <x:v>0</x:v>
      </x:c>
      <x:c r="M350" s="12" t="n">
        <x:f>IF(H350="Completed",I350*J350*(1-L350),0)</x:f>
        <x:v>294.74</x:v>
      </x:c>
      <x:c r="N350" s="12" t="n">
        <x:f>IF(H350="Completed",I350*K350,0)</x:f>
        <x:v>168.27</x:v>
      </x:c>
      <x:c r="O350" s="12" t="n">
        <x:f>M350-N350</x:f>
        <x:v>126.47</x:v>
      </x:c>
      <x:c r="P350" s="16" t="n">
        <x:f>IFERROR(O350/M350,0)</x:f>
        <x:v>0.4290900454637986</x:v>
      </x:c>
      <x:c r="Q350" t="n">
        <x:f>YEAR(B350)</x:f>
        <x:v>2024</x:v>
      </x:c>
      <x:c r="R350" t="str">
        <x:f>TEXT(B350,"yyyy-mm")</x:f>
        <x:v>2024-12</x:v>
      </x:c>
    </x:row>
    <x:row r="351">
      <x:c r="A351" t="n">
        <x:v>10678</x:v>
      </x:c>
      <x:c r="B351" s="10" t="n">
        <x:v>45635</x:v>
      </x:c>
      <x:c r="C351" t="str">
        <x:v>P005</x:v>
      </x:c>
      <x:c r="D351" t="str">
        <x:v>Desk</x:v>
      </x:c>
      <x:c r="E351" t="str">
        <x:v>Furniture</x:v>
      </x:c>
      <x:c r="F351" t="str">
        <x:v>Scotland</x:v>
      </x:c>
      <x:c r="G351" t="str">
        <x:v>Online</x:v>
      </x:c>
      <x:c r="H351" t="str">
        <x:v>Cancelled</x:v>
      </x:c>
      <x:c r="I351" t="n">
        <x:v>3</x:v>
      </x:c>
      <x:c r="J351" s="12" t="n">
        <x:v>275.63</x:v>
      </x:c>
      <x:c r="K351" s="12" t="n">
        <x:v>157.13</x:v>
      </x:c>
      <x:c r="L351" s="14" t="n">
        <x:v>0.05</x:v>
      </x:c>
      <x:c r="M351" s="12" t="n">
        <x:f>IF(H351="Completed",I351*J351*(1-L351),0)</x:f>
        <x:v>0</x:v>
      </x:c>
      <x:c r="N351" s="12" t="n">
        <x:f>IF(H351="Completed",I351*K351,0)</x:f>
        <x:v>0</x:v>
      </x:c>
      <x:c r="O351" s="12" t="n">
        <x:f>M351-N351</x:f>
        <x:v>0</x:v>
      </x:c>
      <x:c r="P351" s="16" t="n">
        <x:f>IFERROR(O351/M351,0)</x:f>
        <x:v>0</x:v>
      </x:c>
      <x:c r="Q351" t="n">
        <x:f>YEAR(B351)</x:f>
        <x:v>2024</x:v>
      </x:c>
      <x:c r="R351" t="str">
        <x:f>TEXT(B351,"yyyy-mm")</x:f>
        <x:v>2024-12</x:v>
      </x:c>
    </x:row>
    <x:row r="352">
      <x:c r="A352" t="n">
        <x:v>10202</x:v>
      </x:c>
      <x:c r="B352" s="10" t="n">
        <x:v>45637</x:v>
      </x:c>
      <x:c r="C352" t="str">
        <x:v>P001</x:v>
      </x:c>
      <x:c r="D352" t="str">
        <x:v>Laptop</x:v>
      </x:c>
      <x:c r="E352" t="str">
        <x:v>Electronics</x:v>
      </x:c>
      <x:c r="F352" t="str">
        <x:v>North</x:v>
      </x:c>
      <x:c r="G352" t="str">
        <x:v>Partner</x:v>
      </x:c>
      <x:c r="H352" t="str">
        <x:v>Cancelled</x:v>
      </x:c>
      <x:c r="I352" t="n">
        <x:v>1</x:v>
      </x:c>
      <x:c r="J352" s="12" t="n">
        <x:v>934.33</x:v>
      </x:c>
      <x:c r="K352" s="12" t="n">
        <x:v>631.38</x:v>
      </x:c>
      <x:c r="L352" s="14" t="n">
        <x:v>0</x:v>
      </x:c>
      <x:c r="M352" s="12" t="n">
        <x:f>IF(H352="Completed",I352*J352*(1-L352),0)</x:f>
        <x:v>0</x:v>
      </x:c>
      <x:c r="N352" s="12" t="n">
        <x:f>IF(H352="Completed",I352*K352,0)</x:f>
        <x:v>0</x:v>
      </x:c>
      <x:c r="O352" s="12" t="n">
        <x:f>M352-N352</x:f>
        <x:v>0</x:v>
      </x:c>
      <x:c r="P352" s="16" t="n">
        <x:f>IFERROR(O352/M352,0)</x:f>
        <x:v>0</x:v>
      </x:c>
      <x:c r="Q352" t="n">
        <x:f>YEAR(B352)</x:f>
        <x:v>2024</x:v>
      </x:c>
      <x:c r="R352" t="str">
        <x:f>TEXT(B352,"yyyy-mm")</x:f>
        <x:v>2024-12</x:v>
      </x:c>
    </x:row>
    <x:row r="353">
      <x:c r="A353" t="n">
        <x:v>10107</x:v>
      </x:c>
      <x:c r="B353" s="10" t="n">
        <x:v>45638</x:v>
      </x:c>
      <x:c r="C353" t="str">
        <x:v>P007</x:v>
      </x:c>
      <x:c r="D353" t="str">
        <x:v>Headset</x:v>
      </x:c>
      <x:c r="E353" t="str">
        <x:v>Accessories</x:v>
      </x:c>
      <x:c r="F353" t="str">
        <x:v>Scotland</x:v>
      </x:c>
      <x:c r="G353" t="str">
        <x:v>Partner</x:v>
      </x:c>
      <x:c r="H353" t="str">
        <x:v>Cancelled</x:v>
      </x:c>
      <x:c r="I353" t="n">
        <x:v>1</x:v>
      </x:c>
      <x:c r="J353" s="12" t="n">
        <x:v>74.65</x:v>
      </x:c>
      <x:c r="K353" s="12" t="n">
        <x:v>35.4</x:v>
      </x:c>
      <x:c r="L353" s="14" t="n">
        <x:v>0.05</x:v>
      </x:c>
      <x:c r="M353" s="12" t="n">
        <x:f>IF(H353="Completed",I353*J353*(1-L353),0)</x:f>
        <x:v>0</x:v>
      </x:c>
      <x:c r="N353" s="12" t="n">
        <x:f>IF(H353="Completed",I353*K353,0)</x:f>
        <x:v>0</x:v>
      </x:c>
      <x:c r="O353" s="12" t="n">
        <x:f>M353-N353</x:f>
        <x:v>0</x:v>
      </x:c>
      <x:c r="P353" s="16" t="n">
        <x:f>IFERROR(O353/M353,0)</x:f>
        <x:v>0</x:v>
      </x:c>
      <x:c r="Q353" t="n">
        <x:f>YEAR(B353)</x:f>
        <x:v>2024</x:v>
      </x:c>
      <x:c r="R353" t="str">
        <x:f>TEXT(B353,"yyyy-mm")</x:f>
        <x:v>2024-12</x:v>
      </x:c>
    </x:row>
    <x:row r="354">
      <x:c r="A354" t="n">
        <x:v>10185</x:v>
      </x:c>
      <x:c r="B354" s="10" t="n">
        <x:v>45639</x:v>
      </x:c>
      <x:c r="C354" t="str">
        <x:v>P003</x:v>
      </x:c>
      <x:c r="D354" t="str">
        <x:v>Keyboard</x:v>
      </x:c>
      <x:c r="E354" t="str">
        <x:v>Accessories</x:v>
      </x:c>
      <x:c r="F354" t="str">
        <x:v>South</x:v>
      </x:c>
      <x:c r="G354" t="str">
        <x:v>Online</x:v>
      </x:c>
      <x:c r="H354" t="str">
        <x:v>Cancelled</x:v>
      </x:c>
      <x:c r="I354" t="n">
        <x:v>4</x:v>
      </x:c>
      <x:c r="J354" s="12" t="n">
        <x:v>50.28</x:v>
      </x:c>
      <x:c r="K354" s="12" t="n">
        <x:v>26.43</x:v>
      </x:c>
      <x:c r="L354" s="14" t="n">
        <x:v>0</x:v>
      </x:c>
      <x:c r="M354" s="12" t="n">
        <x:f>IF(H354="Completed",I354*J354*(1-L354),0)</x:f>
        <x:v>0</x:v>
      </x:c>
      <x:c r="N354" s="12" t="n">
        <x:f>IF(H354="Completed",I354*K354,0)</x:f>
        <x:v>0</x:v>
      </x:c>
      <x:c r="O354" s="12" t="n">
        <x:f>M354-N354</x:f>
        <x:v>0</x:v>
      </x:c>
      <x:c r="P354" s="16" t="n">
        <x:f>IFERROR(O354/M354,0)</x:f>
        <x:v>0</x:v>
      </x:c>
      <x:c r="Q354" t="n">
        <x:f>YEAR(B354)</x:f>
        <x:v>2024</x:v>
      </x:c>
      <x:c r="R354" t="str">
        <x:f>TEXT(B354,"yyyy-mm")</x:f>
        <x:v>2024-12</x:v>
      </x:c>
    </x:row>
    <x:row r="355">
      <x:c r="A355" t="n">
        <x:v>10600</x:v>
      </x:c>
      <x:c r="B355" s="10" t="n">
        <x:v>45641</x:v>
      </x:c>
      <x:c r="C355" t="str">
        <x:v>P007</x:v>
      </x:c>
      <x:c r="D355" t="str">
        <x:v>Headset</x:v>
      </x:c>
      <x:c r="E355" t="str">
        <x:v>Accessories</x:v>
      </x:c>
      <x:c r="F355" t="str">
        <x:v>North</x:v>
      </x:c>
      <x:c r="G355" t="str">
        <x:v>Online</x:v>
      </x:c>
      <x:c r="H355" t="str">
        <x:v>Cancelled</x:v>
      </x:c>
      <x:c r="I355" t="n">
        <x:v>2</x:v>
      </x:c>
      <x:c r="J355" s="12" t="n">
        <x:v>73.3</x:v>
      </x:c>
      <x:c r="K355" s="12" t="n">
        <x:v>35.03</x:v>
      </x:c>
      <x:c r="L355" s="14" t="n">
        <x:v>0.15</x:v>
      </x:c>
      <x:c r="M355" s="12" t="n">
        <x:f>IF(H355="Completed",I355*J355*(1-L355),0)</x:f>
        <x:v>0</x:v>
      </x:c>
      <x:c r="N355" s="12" t="n">
        <x:f>IF(H355="Completed",I355*K355,0)</x:f>
        <x:v>0</x:v>
      </x:c>
      <x:c r="O355" s="12" t="n">
        <x:f>M355-N355</x:f>
        <x:v>0</x:v>
      </x:c>
      <x:c r="P355" s="16" t="n">
        <x:f>IFERROR(O355/M355,0)</x:f>
        <x:v>0</x:v>
      </x:c>
      <x:c r="Q355" t="n">
        <x:f>YEAR(B355)</x:f>
        <x:v>2024</x:v>
      </x:c>
      <x:c r="R355" t="str">
        <x:f>TEXT(B355,"yyyy-mm")</x:f>
        <x:v>2024-12</x:v>
      </x:c>
    </x:row>
    <x:row r="356">
      <x:c r="A356" t="n">
        <x:v>10906</x:v>
      </x:c>
      <x:c r="B356" s="10" t="n">
        <x:v>45641</x:v>
      </x:c>
      <x:c r="C356" t="str">
        <x:v>P004</x:v>
      </x:c>
      <x:c r="D356" t="str">
        <x:v>Mouse</x:v>
      </x:c>
      <x:c r="E356" t="str">
        <x:v>Accessories</x:v>
      </x:c>
      <x:c r="F356" t="str">
        <x:v>Wales</x:v>
      </x:c>
      <x:c r="G356" t="str">
        <x:v>Online</x:v>
      </x:c>
      <x:c r="H356" t="str">
        <x:v>Completed</x:v>
      </x:c>
      <x:c r="I356" t="n">
        <x:v>4</x:v>
      </x:c>
      <x:c r="J356" s="12" t="n">
        <x:v>27.93</x:v>
      </x:c>
      <x:c r="K356" s="12" t="n">
        <x:v>13.14</x:v>
      </x:c>
      <x:c r="L356" s="14" t="n">
        <x:v>0.15</x:v>
      </x:c>
      <x:c r="M356" s="12" t="n">
        <x:f>IF(H356="Completed",I356*J356*(1-L356),0)</x:f>
        <x:v>94.962</x:v>
      </x:c>
      <x:c r="N356" s="12" t="n">
        <x:f>IF(H356="Completed",I356*K356,0)</x:f>
        <x:v>52.56</x:v>
      </x:c>
      <x:c r="O356" s="12" t="n">
        <x:f>M356-N356</x:f>
        <x:v>42.402</x:v>
      </x:c>
      <x:c r="P356" s="16" t="n">
        <x:f>IFERROR(O356/M356,0)</x:f>
        <x:v>0.446515448284577</x:v>
      </x:c>
      <x:c r="Q356" t="n">
        <x:f>YEAR(B356)</x:f>
        <x:v>2024</x:v>
      </x:c>
      <x:c r="R356" t="str">
        <x:f>TEXT(B356,"yyyy-mm")</x:f>
        <x:v>2024-12</x:v>
      </x:c>
    </x:row>
    <x:row r="357">
      <x:c r="A357" t="n">
        <x:v>10323</x:v>
      </x:c>
      <x:c r="B357" s="10" t="n">
        <x:v>45643</x:v>
      </x:c>
      <x:c r="C357" t="str">
        <x:v>P002</x:v>
      </x:c>
      <x:c r="D357" t="str">
        <x:v>Monitor</x:v>
      </x:c>
      <x:c r="E357" t="str">
        <x:v>Electronics</x:v>
      </x:c>
      <x:c r="F357" t="str">
        <x:v>South</x:v>
      </x:c>
      <x:c r="G357" t="str">
        <x:v>Online</x:v>
      </x:c>
      <x:c r="H357" t="str">
        <x:v>Completed</x:v>
      </x:c>
      <x:c r="I357" t="n">
        <x:v>4</x:v>
      </x:c>
      <x:c r="J357" s="12" t="n">
        <x:v>278.23</x:v>
      </x:c>
      <x:c r="K357" s="12" t="n">
        <x:v>173.45</x:v>
      </x:c>
      <x:c r="L357" s="14" t="n">
        <x:v>0.05</x:v>
      </x:c>
      <x:c r="M357" s="12" t="n">
        <x:f>IF(H357="Completed",I357*J357*(1-L357),0)</x:f>
        <x:v>1057.2740000000001</x:v>
      </x:c>
      <x:c r="N357" s="12" t="n">
        <x:f>IF(H357="Completed",I357*K357,0)</x:f>
        <x:v>693.8</x:v>
      </x:c>
      <x:c r="O357" s="12" t="n">
        <x:f>M357-N357</x:f>
        <x:v>363.47400000000016</x:v>
      </x:c>
      <x:c r="P357" s="16" t="n">
        <x:f>IFERROR(O357/M357,0)</x:f>
        <x:v>0.343784108944323</x:v>
      </x:c>
      <x:c r="Q357" t="n">
        <x:f>YEAR(B357)</x:f>
        <x:v>2024</x:v>
      </x:c>
      <x:c r="R357" t="str">
        <x:f>TEXT(B357,"yyyy-mm")</x:f>
        <x:v>2024-12</x:v>
      </x:c>
    </x:row>
    <x:row r="358">
      <x:c r="A358" t="n">
        <x:v>10737</x:v>
      </x:c>
      <x:c r="B358" s="10" t="n">
        <x:v>45644</x:v>
      </x:c>
      <x:c r="C358" t="str">
        <x:v>P003</x:v>
      </x:c>
      <x:c r="D358" t="str">
        <x:v>Keyboard</x:v>
      </x:c>
      <x:c r="E358" t="str">
        <x:v>Accessories</x:v>
      </x:c>
      <x:c r="F358" t="str">
        <x:v>Midlands</x:v>
      </x:c>
      <x:c r="G358" t="str">
        <x:v>Partner</x:v>
      </x:c>
      <x:c r="H358" t="str">
        <x:v>Cancelled</x:v>
      </x:c>
      <x:c r="I358" t="n">
        <x:v>3</x:v>
      </x:c>
      <x:c r="J358" s="12" t="n">
        <x:v>47.95</x:v>
      </x:c>
      <x:c r="K358" s="12" t="n">
        <x:v>25.51</x:v>
      </x:c>
      <x:c r="L358" s="14" t="n">
        <x:v>0</x:v>
      </x:c>
      <x:c r="M358" s="12" t="n">
        <x:f>IF(H358="Completed",I358*J358*(1-L358),0)</x:f>
        <x:v>0</x:v>
      </x:c>
      <x:c r="N358" s="12" t="n">
        <x:f>IF(H358="Completed",I358*K358,0)</x:f>
        <x:v>0</x:v>
      </x:c>
      <x:c r="O358" s="12" t="n">
        <x:f>M358-N358</x:f>
        <x:v>0</x:v>
      </x:c>
      <x:c r="P358" s="16" t="n">
        <x:f>IFERROR(O358/M358,0)</x:f>
        <x:v>0</x:v>
      </x:c>
      <x:c r="Q358" t="n">
        <x:f>YEAR(B358)</x:f>
        <x:v>2024</x:v>
      </x:c>
      <x:c r="R358" t="str">
        <x:f>TEXT(B358,"yyyy-mm")</x:f>
        <x:v>2024-12</x:v>
      </x:c>
    </x:row>
    <x:row r="359">
      <x:c r="A359" t="n">
        <x:v>10225</x:v>
      </x:c>
      <x:c r="B359" s="10" t="n">
        <x:v>45646</x:v>
      </x:c>
      <x:c r="C359" t="str">
        <x:v>P008</x:v>
      </x:c>
      <x:c r="D359" t="str">
        <x:v>Webcam</x:v>
      </x:c>
      <x:c r="E359" t="str">
        <x:v>Electronics</x:v>
      </x:c>
      <x:c r="F359" t="str">
        <x:v>Scotland</x:v>
      </x:c>
      <x:c r="G359" t="str">
        <x:v>Online</x:v>
      </x:c>
      <x:c r="H359" t="str">
        <x:v>Cancelled</x:v>
      </x:c>
      <x:c r="I359" t="n">
        <x:v>3</x:v>
      </x:c>
      <x:c r="J359" s="12" t="n">
        <x:v>92.14</x:v>
      </x:c>
      <x:c r="K359" s="12" t="n">
        <x:v>42.62</x:v>
      </x:c>
      <x:c r="L359" s="14" t="n">
        <x:v>0</x:v>
      </x:c>
      <x:c r="M359" s="12" t="n">
        <x:f>IF(H359="Completed",I359*J359*(1-L359),0)</x:f>
        <x:v>0</x:v>
      </x:c>
      <x:c r="N359" s="12" t="n">
        <x:f>IF(H359="Completed",I359*K359,0)</x:f>
        <x:v>0</x:v>
      </x:c>
      <x:c r="O359" s="12" t="n">
        <x:f>M359-N359</x:f>
        <x:v>0</x:v>
      </x:c>
      <x:c r="P359" s="16" t="n">
        <x:f>IFERROR(O359/M359,0)</x:f>
        <x:v>0</x:v>
      </x:c>
      <x:c r="Q359" t="n">
        <x:f>YEAR(B359)</x:f>
        <x:v>2024</x:v>
      </x:c>
      <x:c r="R359" t="str">
        <x:f>TEXT(B359,"yyyy-mm")</x:f>
        <x:v>2024-12</x:v>
      </x:c>
    </x:row>
    <x:row r="360">
      <x:c r="A360" t="n">
        <x:v>10295</x:v>
      </x:c>
      <x:c r="B360" s="10" t="n">
        <x:v>45648</x:v>
      </x:c>
      <x:c r="C360" t="str">
        <x:v>P005</x:v>
      </x:c>
      <x:c r="D360" t="str">
        <x:v>Desk</x:v>
      </x:c>
      <x:c r="E360" t="str">
        <x:v>Furniture</x:v>
      </x:c>
      <x:c r="F360" t="str">
        <x:v>Midlands</x:v>
      </x:c>
      <x:c r="G360" t="str">
        <x:v>Online</x:v>
      </x:c>
      <x:c r="H360" t="str">
        <x:v>Completed</x:v>
      </x:c>
      <x:c r="I360" t="n">
        <x:v>3</x:v>
      </x:c>
      <x:c r="J360" s="12" t="n">
        <x:v>275.92</x:v>
      </x:c>
      <x:c r="K360" s="12" t="n">
        <x:v>155.3</x:v>
      </x:c>
      <x:c r="L360" s="14" t="n">
        <x:v>0</x:v>
      </x:c>
      <x:c r="M360" s="12" t="n">
        <x:f>IF(H360="Completed",I360*J360*(1-L360),0)</x:f>
        <x:v>827.76</x:v>
      </x:c>
      <x:c r="N360" s="12" t="n">
        <x:f>IF(H360="Completed",I360*K360,0)</x:f>
        <x:v>465.90000000000003</x:v>
      </x:c>
      <x:c r="O360" s="12" t="n">
        <x:f>M360-N360</x:f>
        <x:v>361.85999999999996</x:v>
      </x:c>
      <x:c r="P360" s="16" t="n">
        <x:f>IFERROR(O360/M360,0)</x:f>
        <x:v>0.4371556973035662</x:v>
      </x:c>
      <x:c r="Q360" t="n">
        <x:f>YEAR(B360)</x:f>
        <x:v>2024</x:v>
      </x:c>
      <x:c r="R360" t="str">
        <x:f>TEXT(B360,"yyyy-mm")</x:f>
        <x:v>2024-12</x:v>
      </x:c>
    </x:row>
    <x:row r="361">
      <x:c r="A361" t="n">
        <x:v>10644</x:v>
      </x:c>
      <x:c r="B361" s="10" t="n">
        <x:v>45650</x:v>
      </x:c>
      <x:c r="C361" t="str">
        <x:v>P006</x:v>
      </x:c>
      <x:c r="D361" t="str">
        <x:v>Chair</x:v>
      </x:c>
      <x:c r="E361" t="str">
        <x:v>Furniture</x:v>
      </x:c>
      <x:c r="F361" t="str">
        <x:v>North</x:v>
      </x:c>
      <x:c r="G361" t="str">
        <x:v>Retail</x:v>
      </x:c>
      <x:c r="H361" t="str">
        <x:v>Completed</x:v>
      </x:c>
      <x:c r="I361" t="n">
        <x:v>3</x:v>
      </x:c>
      <x:c r="J361" s="12" t="n">
        <x:v>133.26</x:v>
      </x:c>
      <x:c r="K361" s="12" t="n">
        <x:v>66.88</x:v>
      </x:c>
      <x:c r="L361" s="14" t="n">
        <x:v>0.1</x:v>
      </x:c>
      <x:c r="M361" s="12" t="n">
        <x:f>IF(H361="Completed",I361*J361*(1-L361),0)</x:f>
        <x:v>359.80199999999996</x:v>
      </x:c>
      <x:c r="N361" s="12" t="n">
        <x:f>IF(H361="Completed",I361*K361,0)</x:f>
        <x:v>200.64</x:v>
      </x:c>
      <x:c r="O361" s="12" t="n">
        <x:f>M361-N361</x:f>
        <x:v>159.16199999999998</x:v>
      </x:c>
      <x:c r="P361" s="16" t="n">
        <x:f>IFERROR(O361/M361,0)</x:f>
        <x:v>0.4423599646472226</x:v>
      </x:c>
      <x:c r="Q361" t="n">
        <x:f>YEAR(B361)</x:f>
        <x:v>2024</x:v>
      </x:c>
      <x:c r="R361" t="str">
        <x:f>TEXT(B361,"yyyy-mm")</x:f>
        <x:v>2024-12</x:v>
      </x:c>
    </x:row>
    <x:row r="362">
      <x:c r="A362" t="n">
        <x:v>10783</x:v>
      </x:c>
      <x:c r="B362" s="10" t="n">
        <x:v>45653</x:v>
      </x:c>
      <x:c r="C362" t="str">
        <x:v>P005</x:v>
      </x:c>
      <x:c r="D362" t="str">
        <x:v>Desk</x:v>
      </x:c>
      <x:c r="E362" t="str">
        <x:v>Furniture</x:v>
      </x:c>
      <x:c r="F362" t="str">
        <x:v>North</x:v>
      </x:c>
      <x:c r="G362" t="str">
        <x:v>Retail</x:v>
      </x:c>
      <x:c r="H362" t="str">
        <x:v>Completed</x:v>
      </x:c>
      <x:c r="I362" t="n">
        <x:v>3</x:v>
      </x:c>
      <x:c r="J362" s="12" t="n">
        <x:v>273.47</x:v>
      </x:c>
      <x:c r="K362" s="12" t="n">
        <x:v>157.65</x:v>
      </x:c>
      <x:c r="L362" s="14" t="n">
        <x:v>0</x:v>
      </x:c>
      <x:c r="M362" s="12" t="n">
        <x:f>IF(H362="Completed",I362*J362*(1-L362),0)</x:f>
        <x:v>820.4100000000001</x:v>
      </x:c>
      <x:c r="N362" s="12" t="n">
        <x:f>IF(H362="Completed",I362*K362,0)</x:f>
        <x:v>472.95000000000005</x:v>
      </x:c>
      <x:c r="O362" s="12" t="n">
        <x:f>M362-N362</x:f>
        <x:v>347.46000000000004</x:v>
      </x:c>
      <x:c r="P362" s="16" t="n">
        <x:f>IFERROR(O362/M362,0)</x:f>
        <x:v>0.4235199473434015</x:v>
      </x:c>
      <x:c r="Q362" t="n">
        <x:f>YEAR(B362)</x:f>
        <x:v>2024</x:v>
      </x:c>
      <x:c r="R362" t="str">
        <x:f>TEXT(B362,"yyyy-mm")</x:f>
        <x:v>2024-12</x:v>
      </x:c>
    </x:row>
    <x:row r="363">
      <x:c r="A363" t="n">
        <x:v>10280</x:v>
      </x:c>
      <x:c r="B363" s="10" t="n">
        <x:v>45654</x:v>
      </x:c>
      <x:c r="C363" t="str">
        <x:v>P002</x:v>
      </x:c>
      <x:c r="D363" t="str">
        <x:v>Monitor</x:v>
      </x:c>
      <x:c r="E363" t="str">
        <x:v>Electronics</x:v>
      </x:c>
      <x:c r="F363" t="str">
        <x:v>Scotland</x:v>
      </x:c>
      <x:c r="G363" t="str">
        <x:v>Online</x:v>
      </x:c>
      <x:c r="H363" t="str">
        <x:v>Completed</x:v>
      </x:c>
      <x:c r="I363" t="n">
        <x:v>3</x:v>
      </x:c>
      <x:c r="J363" s="12" t="n">
        <x:v>291.99</x:v>
      </x:c>
      <x:c r="K363" s="12" t="n">
        <x:v>172.76</x:v>
      </x:c>
      <x:c r="L363" s="14" t="n">
        <x:v>0.05</x:v>
      </x:c>
      <x:c r="M363" s="12" t="n">
        <x:f>IF(H363="Completed",I363*J363*(1-L363),0)</x:f>
        <x:v>832.1715</x:v>
      </x:c>
      <x:c r="N363" s="12" t="n">
        <x:f>IF(H363="Completed",I363*K363,0)</x:f>
        <x:v>518.28</x:v>
      </x:c>
      <x:c r="O363" s="12" t="n">
        <x:f>M363-N363</x:f>
        <x:v>313.89150000000006</x:v>
      </x:c>
      <x:c r="P363" s="16" t="n">
        <x:f>IFERROR(O363/M363,0)</x:f>
        <x:v>0.37719568622573596</x:v>
      </x:c>
      <x:c r="Q363" t="n">
        <x:f>YEAR(B363)</x:f>
        <x:v>2024</x:v>
      </x:c>
      <x:c r="R363" t="str">
        <x:f>TEXT(B363,"yyyy-mm")</x:f>
        <x:v>2024-12</x:v>
      </x:c>
    </x:row>
    <x:row r="364">
      <x:c r="A364" t="n">
        <x:v>10768</x:v>
      </x:c>
      <x:c r="B364" s="10" t="n">
        <x:v>45655</x:v>
      </x:c>
      <x:c r="C364" t="str">
        <x:v>P007</x:v>
      </x:c>
      <x:c r="D364" t="str">
        <x:v>Headset</x:v>
      </x:c>
      <x:c r="E364" t="str">
        <x:v>Accessories</x:v>
      </x:c>
      <x:c r="F364" t="str">
        <x:v>North</x:v>
      </x:c>
      <x:c r="G364" t="str">
        <x:v>Online</x:v>
      </x:c>
      <x:c r="H364" t="str">
        <x:v>Completed</x:v>
      </x:c>
      <x:c r="I364" t="n">
        <x:v>4</x:v>
      </x:c>
      <x:c r="J364" s="12" t="n">
        <x:v>70.46</x:v>
      </x:c>
      <x:c r="K364" s="12" t="n">
        <x:v>34.49</x:v>
      </x:c>
      <x:c r="L364" s="14" t="n">
        <x:v>0</x:v>
      </x:c>
      <x:c r="M364" s="12" t="n">
        <x:f>IF(H364="Completed",I364*J364*(1-L364),0)</x:f>
        <x:v>281.84</x:v>
      </x:c>
      <x:c r="N364" s="12" t="n">
        <x:f>IF(H364="Completed",I364*K364,0)</x:f>
        <x:v>137.96</x:v>
      </x:c>
      <x:c r="O364" s="12" t="n">
        <x:f>M364-N364</x:f>
        <x:v>143.87999999999997</x:v>
      </x:c>
      <x:c r="P364" s="16" t="n">
        <x:f>IFERROR(O364/M364,0)</x:f>
        <x:v>0.5105024127164348</x:v>
      </x:c>
      <x:c r="Q364" t="n">
        <x:f>YEAR(B364)</x:f>
        <x:v>2024</x:v>
      </x:c>
      <x:c r="R364" t="str">
        <x:f>TEXT(B364,"yyyy-mm")</x:f>
        <x:v>2024-12</x:v>
      </x:c>
    </x:row>
    <x:row r="365">
      <x:c r="A365" t="n">
        <x:v>10927</x:v>
      </x:c>
      <x:c r="B365" s="10" t="n">
        <x:v>45655</x:v>
      </x:c>
      <x:c r="C365" t="str">
        <x:v>P007</x:v>
      </x:c>
      <x:c r="D365" t="str">
        <x:v>Headset</x:v>
      </x:c>
      <x:c r="E365" t="str">
        <x:v>Accessories</x:v>
      </x:c>
      <x:c r="F365" t="str">
        <x:v>South</x:v>
      </x:c>
      <x:c r="G365" t="str">
        <x:v>Online</x:v>
      </x:c>
      <x:c r="H365" t="str">
        <x:v>Completed</x:v>
      </x:c>
      <x:c r="I365" t="n">
        <x:v>4</x:v>
      </x:c>
      <x:c r="J365" s="12" t="n">
        <x:v>73.86</x:v>
      </x:c>
      <x:c r="K365" s="12" t="n">
        <x:v>34.41</x:v>
      </x:c>
      <x:c r="L365" s="14" t="n">
        <x:v>0</x:v>
      </x:c>
      <x:c r="M365" s="12" t="n">
        <x:f>IF(H365="Completed",I365*J365*(1-L365),0)</x:f>
        <x:v>295.44</x:v>
      </x:c>
      <x:c r="N365" s="12" t="n">
        <x:f>IF(H365="Completed",I365*K365,0)</x:f>
        <x:v>137.64</x:v>
      </x:c>
      <x:c r="O365" s="12" t="n">
        <x:f>M365-N365</x:f>
        <x:v>157.8</x:v>
      </x:c>
      <x:c r="P365" s="16" t="n">
        <x:f>IFERROR(O365/M365,0)</x:f>
        <x:v>0.5341186027619822</x:v>
      </x:c>
      <x:c r="Q365" t="n">
        <x:f>YEAR(B365)</x:f>
        <x:v>2024</x:v>
      </x:c>
      <x:c r="R365" t="str">
        <x:f>TEXT(B365,"yyyy-mm")</x:f>
        <x:v>2024-12</x:v>
      </x:c>
    </x:row>
    <x:row r="366">
      <x:c r="A366" t="n">
        <x:v>10110</x:v>
      </x:c>
      <x:c r="B366" s="10" t="n">
        <x:v>45659</x:v>
      </x:c>
      <x:c r="C366" t="str">
        <x:v>P006</x:v>
      </x:c>
      <x:c r="D366" t="str">
        <x:v>Chair</x:v>
      </x:c>
      <x:c r="E366" t="str">
        <x:v>Furniture</x:v>
      </x:c>
      <x:c r="F366" t="str">
        <x:v>North</x:v>
      </x:c>
      <x:c r="G366" t="str">
        <x:v>Online</x:v>
      </x:c>
      <x:c r="H366" t="str">
        <x:v>Cancelled</x:v>
      </x:c>
      <x:c r="I366" t="n">
        <x:v>4</x:v>
      </x:c>
      <x:c r="J366" s="12" t="n">
        <x:v>138.44</x:v>
      </x:c>
      <x:c r="K366" s="12" t="n">
        <x:v>67.22</x:v>
      </x:c>
      <x:c r="L366" s="14" t="n">
        <x:v>0.15</x:v>
      </x:c>
      <x:c r="M366" s="12" t="n">
        <x:f>IF(H366="Completed",I366*J366*(1-L366),0)</x:f>
        <x:v>0</x:v>
      </x:c>
      <x:c r="N366" s="12" t="n">
        <x:f>IF(H366="Completed",I366*K366,0)</x:f>
        <x:v>0</x:v>
      </x:c>
      <x:c r="O366" s="12" t="n">
        <x:f>M366-N366</x:f>
        <x:v>0</x:v>
      </x:c>
      <x:c r="P366" s="16" t="n">
        <x:f>IFERROR(O366/M366,0)</x:f>
        <x:v>0</x:v>
      </x:c>
      <x:c r="Q366" t="n">
        <x:f>YEAR(B366)</x:f>
        <x:v>2025</x:v>
      </x:c>
      <x:c r="R366" t="str">
        <x:f>TEXT(B366,"yyyy-mm")</x:f>
        <x:v>2025-01</x:v>
      </x:c>
    </x:row>
    <x:row r="367">
      <x:c r="A367" t="n">
        <x:v>10691</x:v>
      </x:c>
      <x:c r="B367" s="10" t="n">
        <x:v>45659</x:v>
      </x:c>
      <x:c r="C367" t="str">
        <x:v>P006</x:v>
      </x:c>
      <x:c r="D367" t="str">
        <x:v>Chair</x:v>
      </x:c>
      <x:c r="E367" t="str">
        <x:v>Furniture</x:v>
      </x:c>
      <x:c r="F367" t="str">
        <x:v>Midlands</x:v>
      </x:c>
      <x:c r="G367" t="str">
        <x:v>Retail</x:v>
      </x:c>
      <x:c r="H367" t="str">
        <x:v>Completed</x:v>
      </x:c>
      <x:c r="I367" t="n">
        <x:v>3</x:v>
      </x:c>
      <x:c r="J367" s="12" t="n">
        <x:v>136</x:v>
      </x:c>
      <x:c r="K367" s="12" t="n">
        <x:v>69.91</x:v>
      </x:c>
      <x:c r="L367" s="14" t="n">
        <x:v>0</x:v>
      </x:c>
      <x:c r="M367" s="12" t="n">
        <x:f>IF(H367="Completed",I367*J367*(1-L367),0)</x:f>
        <x:v>408</x:v>
      </x:c>
      <x:c r="N367" s="12" t="n">
        <x:f>IF(H367="Completed",I367*K367,0)</x:f>
        <x:v>209.73</x:v>
      </x:c>
      <x:c r="O367" s="12" t="n">
        <x:f>M367-N367</x:f>
        <x:v>198.27</x:v>
      </x:c>
      <x:c r="P367" s="16" t="n">
        <x:f>IFERROR(O367/M367,0)</x:f>
        <x:v>0.4859558823529412</x:v>
      </x:c>
      <x:c r="Q367" t="n">
        <x:f>YEAR(B367)</x:f>
        <x:v>2025</x:v>
      </x:c>
      <x:c r="R367" t="str">
        <x:f>TEXT(B367,"yyyy-mm")</x:f>
        <x:v>2025-01</x:v>
      </x:c>
    </x:row>
    <x:row r="368">
      <x:c r="A368" t="n">
        <x:v>10534</x:v>
      </x:c>
      <x:c r="B368" s="10" t="n">
        <x:v>45660</x:v>
      </x:c>
      <x:c r="C368" t="str">
        <x:v>P005</x:v>
      </x:c>
      <x:c r="D368" t="str">
        <x:v>Desk</x:v>
      </x:c>
      <x:c r="E368" t="str">
        <x:v>Furniture</x:v>
      </x:c>
      <x:c r="F368" t="str">
        <x:v>North</x:v>
      </x:c>
      <x:c r="G368" t="str">
        <x:v>Online</x:v>
      </x:c>
      <x:c r="H368" t="str">
        <x:v>Cancelled</x:v>
      </x:c>
      <x:c r="I368" t="n">
        <x:v>3</x:v>
      </x:c>
      <x:c r="J368" s="12" t="n">
        <x:v>277.85</x:v>
      </x:c>
      <x:c r="K368" s="12" t="n">
        <x:v>156.94</x:v>
      </x:c>
      <x:c r="L368" s="14" t="n">
        <x:v>0</x:v>
      </x:c>
      <x:c r="M368" s="12" t="n">
        <x:f>IF(H368="Completed",I368*J368*(1-L368),0)</x:f>
        <x:v>0</x:v>
      </x:c>
      <x:c r="N368" s="12" t="n">
        <x:f>IF(H368="Completed",I368*K368,0)</x:f>
        <x:v>0</x:v>
      </x:c>
      <x:c r="O368" s="12" t="n">
        <x:f>M368-N368</x:f>
        <x:v>0</x:v>
      </x:c>
      <x:c r="P368" s="16" t="n">
        <x:f>IFERROR(O368/M368,0)</x:f>
        <x:v>0</x:v>
      </x:c>
      <x:c r="Q368" t="n">
        <x:f>YEAR(B368)</x:f>
        <x:v>2025</x:v>
      </x:c>
      <x:c r="R368" t="str">
        <x:f>TEXT(B368,"yyyy-mm")</x:f>
        <x:v>2025-01</x:v>
      </x:c>
    </x:row>
    <x:row r="369">
      <x:c r="A369" t="n">
        <x:v>10196</x:v>
      </x:c>
      <x:c r="B369" s="10" t="n">
        <x:v>45661</x:v>
      </x:c>
      <x:c r="C369" t="str">
        <x:v>P006</x:v>
      </x:c>
      <x:c r="D369" t="str">
        <x:v>Chair</x:v>
      </x:c>
      <x:c r="E369" t="str">
        <x:v>Furniture</x:v>
      </x:c>
      <x:c r="F369" t="str">
        <x:v>Scotland</x:v>
      </x:c>
      <x:c r="G369" t="str">
        <x:v>Retail</x:v>
      </x:c>
      <x:c r="H369" t="str">
        <x:v>Cancelled</x:v>
      </x:c>
      <x:c r="I369" t="n">
        <x:v>4</x:v>
      </x:c>
      <x:c r="J369" s="12" t="n">
        <x:v>131.57</x:v>
      </x:c>
      <x:c r="K369" s="12" t="n">
        <x:v>67.99</x:v>
      </x:c>
      <x:c r="L369" s="14" t="n">
        <x:v>0</x:v>
      </x:c>
      <x:c r="M369" s="12" t="n">
        <x:f>IF(H369="Completed",I369*J369*(1-L369),0)</x:f>
        <x:v>0</x:v>
      </x:c>
      <x:c r="N369" s="12" t="n">
        <x:f>IF(H369="Completed",I369*K369,0)</x:f>
        <x:v>0</x:v>
      </x:c>
      <x:c r="O369" s="12" t="n">
        <x:f>M369-N369</x:f>
        <x:v>0</x:v>
      </x:c>
      <x:c r="P369" s="16" t="n">
        <x:f>IFERROR(O369/M369,0)</x:f>
        <x:v>0</x:v>
      </x:c>
      <x:c r="Q369" t="n">
        <x:f>YEAR(B369)</x:f>
        <x:v>2025</x:v>
      </x:c>
      <x:c r="R369" t="str">
        <x:f>TEXT(B369,"yyyy-mm")</x:f>
        <x:v>2025-01</x:v>
      </x:c>
    </x:row>
    <x:row r="370">
      <x:c r="A370" t="n">
        <x:v>10330</x:v>
      </x:c>
      <x:c r="B370" s="10" t="n">
        <x:v>45661</x:v>
      </x:c>
      <x:c r="C370" t="str">
        <x:v>P006</x:v>
      </x:c>
      <x:c r="D370" t="str">
        <x:v>Chair</x:v>
      </x:c>
      <x:c r="E370" t="str">
        <x:v>Furniture</x:v>
      </x:c>
      <x:c r="F370" t="str">
        <x:v>Midlands</x:v>
      </x:c>
      <x:c r="G370" t="str">
        <x:v>Retail</x:v>
      </x:c>
      <x:c r="H370" t="str">
        <x:v>Completed</x:v>
      </x:c>
      <x:c r="I370" t="n">
        <x:v>2</x:v>
      </x:c>
      <x:c r="J370" s="12" t="n">
        <x:v>136.11</x:v>
      </x:c>
      <x:c r="K370" s="12" t="n">
        <x:v>67.23</x:v>
      </x:c>
      <x:c r="L370" s="14" t="n">
        <x:v>0</x:v>
      </x:c>
      <x:c r="M370" s="12" t="n">
        <x:f>IF(H370="Completed",I370*J370*(1-L370),0)</x:f>
        <x:v>272.22</x:v>
      </x:c>
      <x:c r="N370" s="12" t="n">
        <x:f>IF(H370="Completed",I370*K370,0)</x:f>
        <x:v>134.46</x:v>
      </x:c>
      <x:c r="O370" s="12" t="n">
        <x:f>M370-N370</x:f>
        <x:v>137.76000000000002</x:v>
      </x:c>
      <x:c r="P370" s="16" t="n">
        <x:f>IFERROR(O370/M370,0)</x:f>
        <x:v>0.5060612739695834</x:v>
      </x:c>
      <x:c r="Q370" t="n">
        <x:f>YEAR(B370)</x:f>
        <x:v>2025</x:v>
      </x:c>
      <x:c r="R370" t="str">
        <x:f>TEXT(B370,"yyyy-mm")</x:f>
        <x:v>2025-01</x:v>
      </x:c>
    </x:row>
    <x:row r="371">
      <x:c r="A371" t="n">
        <x:v>10399</x:v>
      </x:c>
      <x:c r="B371" s="10" t="n">
        <x:v>45661</x:v>
      </x:c>
      <x:c r="C371" t="str">
        <x:v>P004</x:v>
      </x:c>
      <x:c r="D371" t="str">
        <x:v>Mouse</x:v>
      </x:c>
      <x:c r="E371" t="str">
        <x:v>Accessories</x:v>
      </x:c>
      <x:c r="F371" t="str">
        <x:v>Midlands</x:v>
      </x:c>
      <x:c r="G371" t="str">
        <x:v>Online</x:v>
      </x:c>
      <x:c r="H371" t="str">
        <x:v>Completed</x:v>
      </x:c>
      <x:c r="I371" t="n">
        <x:v>3</x:v>
      </x:c>
      <x:c r="J371" s="12" t="n">
        <x:v>27.93</x:v>
      </x:c>
      <x:c r="K371" s="12" t="n">
        <x:v>13.18</x:v>
      </x:c>
      <x:c r="L371" s="14" t="n">
        <x:v>0.15</x:v>
      </x:c>
      <x:c r="M371" s="12" t="n">
        <x:f>IF(H371="Completed",I371*J371*(1-L371),0)</x:f>
        <x:v>71.22149999999999</x:v>
      </x:c>
      <x:c r="N371" s="12" t="n">
        <x:f>IF(H371="Completed",I371*K371,0)</x:f>
        <x:v>39.54</x:v>
      </x:c>
      <x:c r="O371" s="12" t="n">
        <x:f>M371-N371</x:f>
        <x:v>31.681499999999993</x:v>
      </x:c>
      <x:c r="P371" s="16" t="n">
        <x:f>IFERROR(O371/M371,0)</x:f>
        <x:v>0.4448305638044691</x:v>
      </x:c>
      <x:c r="Q371" t="n">
        <x:f>YEAR(B371)</x:f>
        <x:v>2025</x:v>
      </x:c>
      <x:c r="R371" t="str">
        <x:f>TEXT(B371,"yyyy-mm")</x:f>
        <x:v>2025-01</x:v>
      </x:c>
    </x:row>
    <x:row r="372">
      <x:c r="A372" t="n">
        <x:v>10760</x:v>
      </x:c>
      <x:c r="B372" s="10" t="n">
        <x:v>45663</x:v>
      </x:c>
      <x:c r="C372" t="str">
        <x:v>P003</x:v>
      </x:c>
      <x:c r="D372" t="str">
        <x:v>Keyboard</x:v>
      </x:c>
      <x:c r="E372" t="str">
        <x:v>Accessories</x:v>
      </x:c>
      <x:c r="F372" t="str">
        <x:v>Wales</x:v>
      </x:c>
      <x:c r="G372" t="str">
        <x:v>Retail</x:v>
      </x:c>
      <x:c r="H372" t="str">
        <x:v>Completed</x:v>
      </x:c>
      <x:c r="I372" t="n">
        <x:v>4</x:v>
      </x:c>
      <x:c r="J372" s="12" t="n">
        <x:v>49.96</x:v>
      </x:c>
      <x:c r="K372" s="12" t="n">
        <x:v>25.52</x:v>
      </x:c>
      <x:c r="L372" s="14" t="n">
        <x:v>0</x:v>
      </x:c>
      <x:c r="M372" s="12" t="n">
        <x:f>IF(H372="Completed",I372*J372*(1-L372),0)</x:f>
        <x:v>199.84</x:v>
      </x:c>
      <x:c r="N372" s="12" t="n">
        <x:f>IF(H372="Completed",I372*K372,0)</x:f>
        <x:v>102.08</x:v>
      </x:c>
      <x:c r="O372" s="12" t="n">
        <x:f>M372-N372</x:f>
        <x:v>97.76</x:v>
      </x:c>
      <x:c r="P372" s="16" t="n">
        <x:f>IFERROR(O372/M372,0)</x:f>
        <x:v>0.489191353082466</x:v>
      </x:c>
      <x:c r="Q372" t="n">
        <x:f>YEAR(B372)</x:f>
        <x:v>2025</x:v>
      </x:c>
      <x:c r="R372" t="str">
        <x:f>TEXT(B372,"yyyy-mm")</x:f>
        <x:v>2025-01</x:v>
      </x:c>
    </x:row>
    <x:row r="373">
      <x:c r="A373" t="n">
        <x:v>10665</x:v>
      </x:c>
      <x:c r="B373" s="10" t="n">
        <x:v>45667</x:v>
      </x:c>
      <x:c r="C373" t="str">
        <x:v>P001</x:v>
      </x:c>
      <x:c r="D373" t="str">
        <x:v>Laptop</x:v>
      </x:c>
      <x:c r="E373" t="str">
        <x:v>Electronics</x:v>
      </x:c>
      <x:c r="F373" t="str">
        <x:v>South</x:v>
      </x:c>
      <x:c r="G373" t="str">
        <x:v>Retail</x:v>
      </x:c>
      <x:c r="H373" t="str">
        <x:v>Completed</x:v>
      </x:c>
      <x:c r="I373" t="n">
        <x:v>1</x:v>
      </x:c>
      <x:c r="J373" s="12" t="n">
        <x:v>923.41</x:v>
      </x:c>
      <x:c r="K373" s="12" t="n">
        <x:v>629.01</x:v>
      </x:c>
      <x:c r="L373" s="14" t="n">
        <x:v>0.1</x:v>
      </x:c>
      <x:c r="M373" s="12" t="n">
        <x:f>IF(H373="Completed",I373*J373*(1-L373),0)</x:f>
        <x:v>831.069</x:v>
      </x:c>
      <x:c r="N373" s="12" t="n">
        <x:f>IF(H373="Completed",I373*K373,0)</x:f>
        <x:v>629.01</x:v>
      </x:c>
      <x:c r="O373" s="12" t="n">
        <x:f>M373-N373</x:f>
        <x:v>202.05899999999997</x:v>
      </x:c>
      <x:c r="P373" s="16" t="n">
        <x:f>IFERROR(O373/M373,0)</x:f>
        <x:v>0.24313143673990967</x:v>
      </x:c>
      <x:c r="Q373" t="n">
        <x:f>YEAR(B373)</x:f>
        <x:v>2025</x:v>
      </x:c>
      <x:c r="R373" t="str">
        <x:f>TEXT(B373,"yyyy-mm")</x:f>
        <x:v>2025-01</x:v>
      </x:c>
    </x:row>
    <x:row r="374">
      <x:c r="A374" t="n">
        <x:v>10122</x:v>
      </x:c>
      <x:c r="B374" s="10" t="n">
        <x:v>45672</x:v>
      </x:c>
      <x:c r="C374" t="str">
        <x:v>P002</x:v>
      </x:c>
      <x:c r="D374" t="str">
        <x:v>Monitor</x:v>
      </x:c>
      <x:c r="E374" t="str">
        <x:v>Electronics</x:v>
      </x:c>
      <x:c r="F374" t="str">
        <x:v>South</x:v>
      </x:c>
      <x:c r="G374" t="str">
        <x:v>Retail</x:v>
      </x:c>
      <x:c r="H374" t="str">
        <x:v>Cancelled</x:v>
      </x:c>
      <x:c r="I374" t="n">
        <x:v>2</x:v>
      </x:c>
      <x:c r="J374" s="12" t="n">
        <x:v>294.71</x:v>
      </x:c>
      <x:c r="K374" s="12" t="n">
        <x:v>168.48</x:v>
      </x:c>
      <x:c r="L374" s="14" t="n">
        <x:v>0</x:v>
      </x:c>
      <x:c r="M374" s="12" t="n">
        <x:f>IF(H374="Completed",I374*J374*(1-L374),0)</x:f>
        <x:v>0</x:v>
      </x:c>
      <x:c r="N374" s="12" t="n">
        <x:f>IF(H374="Completed",I374*K374,0)</x:f>
        <x:v>0</x:v>
      </x:c>
      <x:c r="O374" s="12" t="n">
        <x:f>M374-N374</x:f>
        <x:v>0</x:v>
      </x:c>
      <x:c r="P374" s="16" t="n">
        <x:f>IFERROR(O374/M374,0)</x:f>
        <x:v>0</x:v>
      </x:c>
      <x:c r="Q374" t="n">
        <x:f>YEAR(B374)</x:f>
        <x:v>2025</x:v>
      </x:c>
      <x:c r="R374" t="str">
        <x:f>TEXT(B374,"yyyy-mm")</x:f>
        <x:v>2025-01</x:v>
      </x:c>
    </x:row>
    <x:row r="375">
      <x:c r="A375" t="n">
        <x:v>10321</x:v>
      </x:c>
      <x:c r="B375" s="10" t="n">
        <x:v>45672</x:v>
      </x:c>
      <x:c r="C375" t="str">
        <x:v>P003</x:v>
      </x:c>
      <x:c r="D375" t="str">
        <x:v>Keyboard</x:v>
      </x:c>
      <x:c r="E375" t="str">
        <x:v>Accessories</x:v>
      </x:c>
      <x:c r="F375" t="str">
        <x:v>Midlands</x:v>
      </x:c>
      <x:c r="G375" t="str">
        <x:v>Online</x:v>
      </x:c>
      <x:c r="H375" t="str">
        <x:v>Completed</x:v>
      </x:c>
      <x:c r="I375" t="n">
        <x:v>1</x:v>
      </x:c>
      <x:c r="J375" s="12" t="n">
        <x:v>49.78</x:v>
      </x:c>
      <x:c r="K375" s="12" t="n">
        <x:v>26.39</x:v>
      </x:c>
      <x:c r="L375" s="14" t="n">
        <x:v>0.05</x:v>
      </x:c>
      <x:c r="M375" s="12" t="n">
        <x:f>IF(H375="Completed",I375*J375*(1-L375),0)</x:f>
        <x:v>47.291</x:v>
      </x:c>
      <x:c r="N375" s="12" t="n">
        <x:f>IF(H375="Completed",I375*K375,0)</x:f>
        <x:v>26.39</x:v>
      </x:c>
      <x:c r="O375" s="12" t="n">
        <x:f>M375-N375</x:f>
        <x:v>20.900999999999996</x:v>
      </x:c>
      <x:c r="P375" s="16" t="n">
        <x:f>IFERROR(O375/M375,0)</x:f>
        <x:v>0.4419657017191431</x:v>
      </x:c>
      <x:c r="Q375" t="n">
        <x:f>YEAR(B375)</x:f>
        <x:v>2025</x:v>
      </x:c>
      <x:c r="R375" t="str">
        <x:f>TEXT(B375,"yyyy-mm")</x:f>
        <x:v>2025-01</x:v>
      </x:c>
    </x:row>
    <x:row r="376">
      <x:c r="A376" t="n">
        <x:v>10734</x:v>
      </x:c>
      <x:c r="B376" s="10" t="n">
        <x:v>45672</x:v>
      </x:c>
      <x:c r="C376" t="str">
        <x:v>P005</x:v>
      </x:c>
      <x:c r="D376" t="str">
        <x:v>Desk</x:v>
      </x:c>
      <x:c r="E376" t="str">
        <x:v>Furniture</x:v>
      </x:c>
      <x:c r="F376" t="str">
        <x:v>North</x:v>
      </x:c>
      <x:c r="G376" t="str">
        <x:v>Online</x:v>
      </x:c>
      <x:c r="H376" t="str">
        <x:v>Completed</x:v>
      </x:c>
      <x:c r="I376" t="n">
        <x:v>1</x:v>
      </x:c>
      <x:c r="J376" s="12" t="n">
        <x:v>284.54</x:v>
      </x:c>
      <x:c r="K376" s="12" t="n">
        <x:v>157.42</x:v>
      </x:c>
      <x:c r="L376" s="14" t="n">
        <x:v>0.1</x:v>
      </x:c>
      <x:c r="M376" s="12" t="n">
        <x:f>IF(H376="Completed",I376*J376*(1-L376),0)</x:f>
        <x:v>256.086</x:v>
      </x:c>
      <x:c r="N376" s="12" t="n">
        <x:f>IF(H376="Completed",I376*K376,0)</x:f>
        <x:v>157.42</x:v>
      </x:c>
      <x:c r="O376" s="12" t="n">
        <x:f>M376-N376</x:f>
        <x:v>98.66600000000003</x:v>
      </x:c>
      <x:c r="P376" s="16" t="n">
        <x:f>IFERROR(O376/M376,0)</x:f>
        <x:v>0.3852846309442922</x:v>
      </x:c>
      <x:c r="Q376" t="n">
        <x:f>YEAR(B376)</x:f>
        <x:v>2025</x:v>
      </x:c>
      <x:c r="R376" t="str">
        <x:f>TEXT(B376,"yyyy-mm")</x:f>
        <x:v>2025-01</x:v>
      </x:c>
    </x:row>
    <x:row r="377">
      <x:c r="A377" t="n">
        <x:v>10160</x:v>
      </x:c>
      <x:c r="B377" s="10" t="n">
        <x:v>45673</x:v>
      </x:c>
      <x:c r="C377" t="str">
        <x:v>P005</x:v>
      </x:c>
      <x:c r="D377" t="str">
        <x:v>Desk</x:v>
      </x:c>
      <x:c r="E377" t="str">
        <x:v>Furniture</x:v>
      </x:c>
      <x:c r="F377" t="str">
        <x:v>Midlands</x:v>
      </x:c>
      <x:c r="G377" t="str">
        <x:v>Online</x:v>
      </x:c>
      <x:c r="H377" t="str">
        <x:v>Cancelled</x:v>
      </x:c>
      <x:c r="I377" t="n">
        <x:v>4</x:v>
      </x:c>
      <x:c r="J377" s="12" t="n">
        <x:v>281.94</x:v>
      </x:c>
      <x:c r="K377" s="12" t="n">
        <x:v>156.92</x:v>
      </x:c>
      <x:c r="L377" s="14" t="n">
        <x:v>0</x:v>
      </x:c>
      <x:c r="M377" s="12" t="n">
        <x:f>IF(H377="Completed",I377*J377*(1-L377),0)</x:f>
        <x:v>0</x:v>
      </x:c>
      <x:c r="N377" s="12" t="n">
        <x:f>IF(H377="Completed",I377*K377,0)</x:f>
        <x:v>0</x:v>
      </x:c>
      <x:c r="O377" s="12" t="n">
        <x:f>M377-N377</x:f>
        <x:v>0</x:v>
      </x:c>
      <x:c r="P377" s="16" t="n">
        <x:f>IFERROR(O377/M377,0)</x:f>
        <x:v>0</x:v>
      </x:c>
      <x:c r="Q377" t="n">
        <x:f>YEAR(B377)</x:f>
        <x:v>2025</x:v>
      </x:c>
      <x:c r="R377" t="str">
        <x:f>TEXT(B377,"yyyy-mm")</x:f>
        <x:v>2025-01</x:v>
      </x:c>
    </x:row>
    <x:row r="378">
      <x:c r="A378" t="n">
        <x:v>10727</x:v>
      </x:c>
      <x:c r="B378" s="10" t="n">
        <x:v>45673</x:v>
      </x:c>
      <x:c r="C378" t="str">
        <x:v>P006</x:v>
      </x:c>
      <x:c r="D378" t="str">
        <x:v>Chair</x:v>
      </x:c>
      <x:c r="E378" t="str">
        <x:v>Furniture</x:v>
      </x:c>
      <x:c r="F378" t="str">
        <x:v>South</x:v>
      </x:c>
      <x:c r="G378" t="str">
        <x:v>Online</x:v>
      </x:c>
      <x:c r="H378" t="str">
        <x:v>Completed</x:v>
      </x:c>
      <x:c r="I378" t="n">
        <x:v>4</x:v>
      </x:c>
      <x:c r="J378" s="12" t="n">
        <x:v>137.66</x:v>
      </x:c>
      <x:c r="K378" s="12" t="n">
        <x:v>68.95</x:v>
      </x:c>
      <x:c r="L378" s="14" t="n">
        <x:v>0.05</x:v>
      </x:c>
      <x:c r="M378" s="12" t="n">
        <x:f>IF(H378="Completed",I378*J378*(1-L378),0)</x:f>
        <x:v>523.108</x:v>
      </x:c>
      <x:c r="N378" s="12" t="n">
        <x:f>IF(H378="Completed",I378*K378,0)</x:f>
        <x:v>275.8</x:v>
      </x:c>
      <x:c r="O378" s="12" t="n">
        <x:f>M378-N378</x:f>
        <x:v>247.30799999999994</x:v>
      </x:c>
      <x:c r="P378" s="16" t="n">
        <x:f>IFERROR(O378/M378,0)</x:f>
        <x:v>0.47276661798328445</x:v>
      </x:c>
      <x:c r="Q378" t="n">
        <x:f>YEAR(B378)</x:f>
        <x:v>2025</x:v>
      </x:c>
      <x:c r="R378" t="str">
        <x:f>TEXT(B378,"yyyy-mm")</x:f>
        <x:v>2025-01</x:v>
      </x:c>
    </x:row>
    <x:row r="379">
      <x:c r="A379" t="n">
        <x:v>10876</x:v>
      </x:c>
      <x:c r="B379" s="10" t="n">
        <x:v>45673</x:v>
      </x:c>
      <x:c r="C379" t="str">
        <x:v>P005</x:v>
      </x:c>
      <x:c r="D379" t="str">
        <x:v>Desk</x:v>
      </x:c>
      <x:c r="E379" t="str">
        <x:v>Furniture</x:v>
      </x:c>
      <x:c r="F379" t="str">
        <x:v>North</x:v>
      </x:c>
      <x:c r="G379" t="str">
        <x:v>Retail</x:v>
      </x:c>
      <x:c r="H379" t="str">
        <x:v>Completed</x:v>
      </x:c>
      <x:c r="I379" t="n">
        <x:v>3</x:v>
      </x:c>
      <x:c r="J379" s="12" t="n">
        <x:v>272.49</x:v>
      </x:c>
      <x:c r="K379" s="12" t="n">
        <x:v>157.61</x:v>
      </x:c>
      <x:c r="L379" s="14" t="n">
        <x:v>0.05</x:v>
      </x:c>
      <x:c r="M379" s="12" t="n">
        <x:f>IF(H379="Completed",I379*J379*(1-L379),0)</x:f>
        <x:v>776.5965</x:v>
      </x:c>
      <x:c r="N379" s="12" t="n">
        <x:f>IF(H379="Completed",I379*K379,0)</x:f>
        <x:v>472.83000000000004</x:v>
      </x:c>
      <x:c r="O379" s="12" t="n">
        <x:f>M379-N379</x:f>
        <x:v>303.76649999999995</x:v>
      </x:c>
      <x:c r="P379" s="16" t="n">
        <x:f>IFERROR(O379/M379,0)</x:f>
        <x:v>0.3911510031271065</x:v>
      </x:c>
      <x:c r="Q379" t="n">
        <x:f>YEAR(B379)</x:f>
        <x:v>2025</x:v>
      </x:c>
      <x:c r="R379" t="str">
        <x:f>TEXT(B379,"yyyy-mm")</x:f>
        <x:v>2025-01</x:v>
      </x:c>
    </x:row>
    <x:row r="380">
      <x:c r="A380" t="n">
        <x:v>10213</x:v>
      </x:c>
      <x:c r="B380" s="10" t="n">
        <x:v>45674</x:v>
      </x:c>
      <x:c r="C380" t="str">
        <x:v>P006</x:v>
      </x:c>
      <x:c r="D380" t="str">
        <x:v>Chair</x:v>
      </x:c>
      <x:c r="E380" t="str">
        <x:v>Furniture</x:v>
      </x:c>
      <x:c r="F380" t="str">
        <x:v>Scotland</x:v>
      </x:c>
      <x:c r="G380" t="str">
        <x:v>Online</x:v>
      </x:c>
      <x:c r="H380" t="str">
        <x:v>Cancelled</x:v>
      </x:c>
      <x:c r="I380" t="n">
        <x:v>3</x:v>
      </x:c>
      <x:c r="J380" s="12" t="n">
        <x:v>135.68</x:v>
      </x:c>
      <x:c r="K380" s="12" t="n">
        <x:v>66.79</x:v>
      </x:c>
      <x:c r="L380" s="14" t="n">
        <x:v>0.05</x:v>
      </x:c>
      <x:c r="M380" s="12" t="n">
        <x:f>IF(H380="Completed",I380*J380*(1-L380),0)</x:f>
        <x:v>0</x:v>
      </x:c>
      <x:c r="N380" s="12" t="n">
        <x:f>IF(H380="Completed",I380*K380,0)</x:f>
        <x:v>0</x:v>
      </x:c>
      <x:c r="O380" s="12" t="n">
        <x:f>M380-N380</x:f>
        <x:v>0</x:v>
      </x:c>
      <x:c r="P380" s="16" t="n">
        <x:f>IFERROR(O380/M380,0)</x:f>
        <x:v>0</x:v>
      </x:c>
      <x:c r="Q380" t="n">
        <x:f>YEAR(B380)</x:f>
        <x:v>2025</x:v>
      </x:c>
      <x:c r="R380" t="str">
        <x:f>TEXT(B380,"yyyy-mm")</x:f>
        <x:v>2025-01</x:v>
      </x:c>
    </x:row>
    <x:row r="381">
      <x:c r="A381" t="n">
        <x:v>10548</x:v>
      </x:c>
      <x:c r="B381" s="10" t="n">
        <x:v>45674</x:v>
      </x:c>
      <x:c r="C381" t="str">
        <x:v>P004</x:v>
      </x:c>
      <x:c r="D381" t="str">
        <x:v>Mouse</x:v>
      </x:c>
      <x:c r="E381" t="str">
        <x:v>Accessories</x:v>
      </x:c>
      <x:c r="F381" t="str">
        <x:v>Wales</x:v>
      </x:c>
      <x:c r="G381" t="str">
        <x:v>Online</x:v>
      </x:c>
      <x:c r="H381" t="str">
        <x:v>Completed</x:v>
      </x:c>
      <x:c r="I381" t="n">
        <x:v>4</x:v>
      </x:c>
      <x:c r="J381" s="12" t="n">
        <x:v>27.54</x:v>
      </x:c>
      <x:c r="K381" s="12" t="n">
        <x:v>13.16</x:v>
      </x:c>
      <x:c r="L381" s="14" t="n">
        <x:v>0</x:v>
      </x:c>
      <x:c r="M381" s="12" t="n">
        <x:f>IF(H381="Completed",I381*J381*(1-L381),0)</x:f>
        <x:v>110.16</x:v>
      </x:c>
      <x:c r="N381" s="12" t="n">
        <x:f>IF(H381="Completed",I381*K381,0)</x:f>
        <x:v>52.64</x:v>
      </x:c>
      <x:c r="O381" s="12" t="n">
        <x:f>M381-N381</x:f>
        <x:v>57.519999999999996</x:v>
      </x:c>
      <x:c r="P381" s="16" t="n">
        <x:f>IFERROR(O381/M381,0)</x:f>
        <x:v>0.5221496005809731</x:v>
      </x:c>
      <x:c r="Q381" t="n">
        <x:f>YEAR(B381)</x:f>
        <x:v>2025</x:v>
      </x:c>
      <x:c r="R381" t="str">
        <x:f>TEXT(B381,"yyyy-mm")</x:f>
        <x:v>2025-01</x:v>
      </x:c>
    </x:row>
    <x:row r="382">
      <x:c r="A382" t="n">
        <x:v>10885</x:v>
      </x:c>
      <x:c r="B382" s="10" t="n">
        <x:v>45675</x:v>
      </x:c>
      <x:c r="C382" t="str">
        <x:v>P005</x:v>
      </x:c>
      <x:c r="D382" t="str">
        <x:v>Desk</x:v>
      </x:c>
      <x:c r="E382" t="str">
        <x:v>Furniture</x:v>
      </x:c>
      <x:c r="F382" t="str">
        <x:v>South</x:v>
      </x:c>
      <x:c r="G382" t="str">
        <x:v>Retail</x:v>
      </x:c>
      <x:c r="H382" t="str">
        <x:v>Completed</x:v>
      </x:c>
      <x:c r="I382" t="n">
        <x:v>3</x:v>
      </x:c>
      <x:c r="J382" s="12" t="n">
        <x:v>274.87</x:v>
      </x:c>
      <x:c r="K382" s="12" t="n">
        <x:v>159.16</x:v>
      </x:c>
      <x:c r="L382" s="14" t="n">
        <x:v>0.1</x:v>
      </x:c>
      <x:c r="M382" s="12" t="n">
        <x:f>IF(H382="Completed",I382*J382*(1-L382),0)</x:f>
        <x:v>742.149</x:v>
      </x:c>
      <x:c r="N382" s="12" t="n">
        <x:f>IF(H382="Completed",I382*K382,0)</x:f>
        <x:v>477.48</x:v>
      </x:c>
      <x:c r="O382" s="12" t="n">
        <x:f>M382-N382</x:f>
        <x:v>264.669</x:v>
      </x:c>
      <x:c r="P382" s="16" t="n">
        <x:f>IFERROR(O382/M382,0)</x:f>
        <x:v>0.3566251520921001</x:v>
      </x:c>
      <x:c r="Q382" t="n">
        <x:f>YEAR(B382)</x:f>
        <x:v>2025</x:v>
      </x:c>
      <x:c r="R382" t="str">
        <x:f>TEXT(B382,"yyyy-mm")</x:f>
        <x:v>2025-01</x:v>
      </x:c>
    </x:row>
    <x:row r="383">
      <x:c r="A383" t="n">
        <x:v>10939</x:v>
      </x:c>
      <x:c r="B383" s="10" t="n">
        <x:v>45675</x:v>
      </x:c>
      <x:c r="C383" t="str">
        <x:v>P006</x:v>
      </x:c>
      <x:c r="D383" t="str">
        <x:v>Chair</x:v>
      </x:c>
      <x:c r="E383" t="str">
        <x:v>Furniture</x:v>
      </x:c>
      <x:c r="F383" t="str">
        <x:v>Wales</x:v>
      </x:c>
      <x:c r="G383" t="str">
        <x:v>Online</x:v>
      </x:c>
      <x:c r="H383" t="str">
        <x:v>Completed</x:v>
      </x:c>
      <x:c r="I383" t="n">
        <x:v>4</x:v>
      </x:c>
      <x:c r="J383" s="12" t="n">
        <x:v>136.5</x:v>
      </x:c>
      <x:c r="K383" s="12" t="n">
        <x:v>69.55</x:v>
      </x:c>
      <x:c r="L383" s="14" t="n">
        <x:v>0.1</x:v>
      </x:c>
      <x:c r="M383" s="12" t="n">
        <x:f>IF(H383="Completed",I383*J383*(1-L383),0)</x:f>
        <x:v>491.40000000000003</x:v>
      </x:c>
      <x:c r="N383" s="12" t="n">
        <x:f>IF(H383="Completed",I383*K383,0)</x:f>
        <x:v>278.2</x:v>
      </x:c>
      <x:c r="O383" s="12" t="n">
        <x:f>M383-N383</x:f>
        <x:v>213.20000000000005</x:v>
      </x:c>
      <x:c r="P383" s="16" t="n">
        <x:f>IFERROR(O383/M383,0)</x:f>
        <x:v>0.43386243386243395</x:v>
      </x:c>
      <x:c r="Q383" t="n">
        <x:f>YEAR(B383)</x:f>
        <x:v>2025</x:v>
      </x:c>
      <x:c r="R383" t="str">
        <x:f>TEXT(B383,"yyyy-mm")</x:f>
        <x:v>2025-01</x:v>
      </x:c>
    </x:row>
    <x:row r="384">
      <x:c r="A384" t="n">
        <x:v>10070</x:v>
      </x:c>
      <x:c r="B384" s="10" t="n">
        <x:v>45676</x:v>
      </x:c>
      <x:c r="C384" t="str">
        <x:v>P007</x:v>
      </x:c>
      <x:c r="D384" t="str">
        <x:v>Headset</x:v>
      </x:c>
      <x:c r="E384" t="str">
        <x:v>Accessories</x:v>
      </x:c>
      <x:c r="F384" t="str">
        <x:v>North</x:v>
      </x:c>
      <x:c r="G384" t="str">
        <x:v>Retail</x:v>
      </x:c>
      <x:c r="H384" t="str">
        <x:v>Completed</x:v>
      </x:c>
      <x:c r="I384" t="n">
        <x:v>2</x:v>
      </x:c>
      <x:c r="J384" s="12" t="n">
        <x:v>73.35</x:v>
      </x:c>
      <x:c r="K384" s="12" t="n">
        <x:v>34.83</x:v>
      </x:c>
      <x:c r="L384" s="14" t="n">
        <x:v>0</x:v>
      </x:c>
      <x:c r="M384" s="12" t="n">
        <x:f>IF(H384="Completed",I384*J384*(1-L384),0)</x:f>
        <x:v>146.7</x:v>
      </x:c>
      <x:c r="N384" s="12" t="n">
        <x:f>IF(H384="Completed",I384*K384,0)</x:f>
        <x:v>69.66</x:v>
      </x:c>
      <x:c r="O384" s="12" t="n">
        <x:f>M384-N384</x:f>
        <x:v>77.03999999999999</x:v>
      </x:c>
      <x:c r="P384" s="16" t="n">
        <x:f>IFERROR(O384/M384,0)</x:f>
        <x:v>0.5251533742331288</x:v>
      </x:c>
      <x:c r="Q384" t="n">
        <x:f>YEAR(B384)</x:f>
        <x:v>2025</x:v>
      </x:c>
      <x:c r="R384" t="str">
        <x:f>TEXT(B384,"yyyy-mm")</x:f>
        <x:v>2025-01</x:v>
      </x:c>
    </x:row>
    <x:row r="385">
      <x:c r="A385" t="n">
        <x:v>10577</x:v>
      </x:c>
      <x:c r="B385" s="10" t="n">
        <x:v>45676</x:v>
      </x:c>
      <x:c r="C385" t="str">
        <x:v>P005</x:v>
      </x:c>
      <x:c r="D385" t="str">
        <x:v>Desk</x:v>
      </x:c>
      <x:c r="E385" t="str">
        <x:v>Furniture</x:v>
      </x:c>
      <x:c r="F385" t="str">
        <x:v>Wales</x:v>
      </x:c>
      <x:c r="G385" t="str">
        <x:v>Online</x:v>
      </x:c>
      <x:c r="H385" t="str">
        <x:v>Completed</x:v>
      </x:c>
      <x:c r="I385" t="n">
        <x:v>3</x:v>
      </x:c>
      <x:c r="J385" s="12" t="n">
        <x:v>280.73</x:v>
      </x:c>
      <x:c r="K385" s="12" t="n">
        <x:v>159.52</x:v>
      </x:c>
      <x:c r="L385" s="14" t="n">
        <x:v>0</x:v>
      </x:c>
      <x:c r="M385" s="12" t="n">
        <x:f>IF(H385="Completed",I385*J385*(1-L385),0)</x:f>
        <x:v>842.19</x:v>
      </x:c>
      <x:c r="N385" s="12" t="n">
        <x:f>IF(H385="Completed",I385*K385,0)</x:f>
        <x:v>478.56000000000006</x:v>
      </x:c>
      <x:c r="O385" s="12" t="n">
        <x:f>M385-N385</x:f>
        <x:v>363.63</x:v>
      </x:c>
      <x:c r="P385" s="16" t="n">
        <x:f>IFERROR(O385/M385,0)</x:f>
        <x:v>0.4317671784276707</x:v>
      </x:c>
      <x:c r="Q385" t="n">
        <x:f>YEAR(B385)</x:f>
        <x:v>2025</x:v>
      </x:c>
      <x:c r="R385" t="str">
        <x:f>TEXT(B385,"yyyy-mm")</x:f>
        <x:v>2025-01</x:v>
      </x:c>
    </x:row>
    <x:row r="386">
      <x:c r="A386" t="n">
        <x:v>10909</x:v>
      </x:c>
      <x:c r="B386" s="10" t="n">
        <x:v>45677</x:v>
      </x:c>
      <x:c r="C386" t="str">
        <x:v>P006</x:v>
      </x:c>
      <x:c r="D386" t="str">
        <x:v>Chair</x:v>
      </x:c>
      <x:c r="E386" t="str">
        <x:v>Furniture</x:v>
      </x:c>
      <x:c r="F386" t="str">
        <x:v>North</x:v>
      </x:c>
      <x:c r="G386" t="str">
        <x:v>Retail</x:v>
      </x:c>
      <x:c r="H386" t="str">
        <x:v>Completed</x:v>
      </x:c>
      <x:c r="I386" t="n">
        <x:v>4</x:v>
      </x:c>
      <x:c r="J386" s="12" t="n">
        <x:v>135.32</x:v>
      </x:c>
      <x:c r="K386" s="12" t="n">
        <x:v>69.82</x:v>
      </x:c>
      <x:c r="L386" s="14" t="n">
        <x:v>0</x:v>
      </x:c>
      <x:c r="M386" s="12" t="n">
        <x:f>IF(H386="Completed",I386*J386*(1-L386),0)</x:f>
        <x:v>541.28</x:v>
      </x:c>
      <x:c r="N386" s="12" t="n">
        <x:f>IF(H386="Completed",I386*K386,0)</x:f>
        <x:v>279.28</x:v>
      </x:c>
      <x:c r="O386" s="12" t="n">
        <x:f>M386-N386</x:f>
        <x:v>262</x:v>
      </x:c>
      <x:c r="P386" s="16" t="n">
        <x:f>IFERROR(O386/M386,0)</x:f>
        <x:v>0.48403783624002367</x:v>
      </x:c>
      <x:c r="Q386" t="n">
        <x:f>YEAR(B386)</x:f>
        <x:v>2025</x:v>
      </x:c>
      <x:c r="R386" t="str">
        <x:f>TEXT(B386,"yyyy-mm")</x:f>
        <x:v>2025-01</x:v>
      </x:c>
    </x:row>
    <x:row r="387">
      <x:c r="A387" t="n">
        <x:v>10103</x:v>
      </x:c>
      <x:c r="B387" s="10" t="n">
        <x:v>45678</x:v>
      </x:c>
      <x:c r="C387" t="str">
        <x:v>P008</x:v>
      </x:c>
      <x:c r="D387" t="str">
        <x:v>Webcam</x:v>
      </x:c>
      <x:c r="E387" t="str">
        <x:v>Electronics</x:v>
      </x:c>
      <x:c r="F387" t="str">
        <x:v>Scotland</x:v>
      </x:c>
      <x:c r="G387" t="str">
        <x:v>Partner</x:v>
      </x:c>
      <x:c r="H387" t="str">
        <x:v>Completed</x:v>
      </x:c>
      <x:c r="I387" t="n">
        <x:v>3</x:v>
      </x:c>
      <x:c r="J387" s="12" t="n">
        <x:v>88.72</x:v>
      </x:c>
      <x:c r="K387" s="12" t="n">
        <x:v>42.96</x:v>
      </x:c>
      <x:c r="L387" s="14" t="n">
        <x:v>0.1</x:v>
      </x:c>
      <x:c r="M387" s="12" t="n">
        <x:f>IF(H387="Completed",I387*J387*(1-L387),0)</x:f>
        <x:v>239.54399999999998</x:v>
      </x:c>
      <x:c r="N387" s="12" t="n">
        <x:f>IF(H387="Completed",I387*K387,0)</x:f>
        <x:v>128.88</x:v>
      </x:c>
      <x:c r="O387" s="12" t="n">
        <x:f>M387-N387</x:f>
        <x:v>110.66399999999999</x:v>
      </x:c>
      <x:c r="P387" s="16" t="n">
        <x:f>IFERROR(O387/M387,0)</x:f>
        <x:v>0.4619777577397054</x:v>
      </x:c>
      <x:c r="Q387" t="n">
        <x:f>YEAR(B387)</x:f>
        <x:v>2025</x:v>
      </x:c>
      <x:c r="R387" t="str">
        <x:f>TEXT(B387,"yyyy-mm")</x:f>
        <x:v>2025-01</x:v>
      </x:c>
    </x:row>
    <x:row r="388">
      <x:c r="A388" t="n">
        <x:v>10289</x:v>
      </x:c>
      <x:c r="B388" s="10" t="n">
        <x:v>45678</x:v>
      </x:c>
      <x:c r="C388" t="str">
        <x:v>P002</x:v>
      </x:c>
      <x:c r="D388" t="str">
        <x:v>Monitor</x:v>
      </x:c>
      <x:c r="E388" t="str">
        <x:v>Electronics</x:v>
      </x:c>
      <x:c r="F388" t="str">
        <x:v>Wales</x:v>
      </x:c>
      <x:c r="G388" t="str">
        <x:v>Online</x:v>
      </x:c>
      <x:c r="H388" t="str">
        <x:v>Completed</x:v>
      </x:c>
      <x:c r="I388" t="n">
        <x:v>4</x:v>
      </x:c>
      <x:c r="J388" s="12" t="n">
        <x:v>286.56</x:v>
      </x:c>
      <x:c r="K388" s="12" t="n">
        <x:v>174.42</x:v>
      </x:c>
      <x:c r="L388" s="14" t="n">
        <x:v>0.1</x:v>
      </x:c>
      <x:c r="M388" s="12" t="n">
        <x:f>IF(H388="Completed",I388*J388*(1-L388),0)</x:f>
        <x:v>1031.616</x:v>
      </x:c>
      <x:c r="N388" s="12" t="n">
        <x:f>IF(H388="Completed",I388*K388,0)</x:f>
        <x:v>697.68</x:v>
      </x:c>
      <x:c r="O388" s="12" t="n">
        <x:f>M388-N388</x:f>
        <x:v>333.93600000000004</x:v>
      </x:c>
      <x:c r="P388" s="16" t="n">
        <x:f>IFERROR(O388/M388,0)</x:f>
        <x:v>0.3237018425460637</x:v>
      </x:c>
      <x:c r="Q388" t="n">
        <x:f>YEAR(B388)</x:f>
        <x:v>2025</x:v>
      </x:c>
      <x:c r="R388" t="str">
        <x:f>TEXT(B388,"yyyy-mm")</x:f>
        <x:v>2025-01</x:v>
      </x:c>
    </x:row>
    <x:row r="389">
      <x:c r="A389" t="n">
        <x:v>10224</x:v>
      </x:c>
      <x:c r="B389" s="10" t="n">
        <x:v>45680</x:v>
      </x:c>
      <x:c r="C389" t="str">
        <x:v>P007</x:v>
      </x:c>
      <x:c r="D389" t="str">
        <x:v>Headset</x:v>
      </x:c>
      <x:c r="E389" t="str">
        <x:v>Accessories</x:v>
      </x:c>
      <x:c r="F389" t="str">
        <x:v>Wales</x:v>
      </x:c>
      <x:c r="G389" t="str">
        <x:v>Retail</x:v>
      </x:c>
      <x:c r="H389" t="str">
        <x:v>Completed</x:v>
      </x:c>
      <x:c r="I389" t="n">
        <x:v>3</x:v>
      </x:c>
      <x:c r="J389" s="12" t="n">
        <x:v>71.29</x:v>
      </x:c>
      <x:c r="K389" s="12" t="n">
        <x:v>35.55</x:v>
      </x:c>
      <x:c r="L389" s="14" t="n">
        <x:v>0</x:v>
      </x:c>
      <x:c r="M389" s="12" t="n">
        <x:f>IF(H389="Completed",I389*J389*(1-L389),0)</x:f>
        <x:v>213.87</x:v>
      </x:c>
      <x:c r="N389" s="12" t="n">
        <x:f>IF(H389="Completed",I389*K389,0)</x:f>
        <x:v>106.64999999999999</x:v>
      </x:c>
      <x:c r="O389" s="12" t="n">
        <x:f>M389-N389</x:f>
        <x:v>107.22000000000001</x:v>
      </x:c>
      <x:c r="P389" s="16" t="n">
        <x:f>IFERROR(O389/M389,0)</x:f>
        <x:v>0.5013325852153178</x:v>
      </x:c>
      <x:c r="Q389" t="n">
        <x:f>YEAR(B389)</x:f>
        <x:v>2025</x:v>
      </x:c>
      <x:c r="R389" t="str">
        <x:f>TEXT(B389,"yyyy-mm")</x:f>
        <x:v>2025-01</x:v>
      </x:c>
    </x:row>
    <x:row r="390">
      <x:c r="A390" t="n">
        <x:v>10937</x:v>
      </x:c>
      <x:c r="B390" s="10" t="n">
        <x:v>45680</x:v>
      </x:c>
      <x:c r="C390" t="str">
        <x:v>P002</x:v>
      </x:c>
      <x:c r="D390" t="str">
        <x:v>Monitor</x:v>
      </x:c>
      <x:c r="E390" t="str">
        <x:v>Electronics</x:v>
      </x:c>
      <x:c r="F390" t="str">
        <x:v>Wales</x:v>
      </x:c>
      <x:c r="G390" t="str">
        <x:v>Online</x:v>
      </x:c>
      <x:c r="H390" t="str">
        <x:v>Completed</x:v>
      </x:c>
      <x:c r="I390" t="n">
        <x:v>3</x:v>
      </x:c>
      <x:c r="J390" s="12" t="n">
        <x:v>292.6</x:v>
      </x:c>
      <x:c r="K390" s="12" t="n">
        <x:v>172.22</x:v>
      </x:c>
      <x:c r="L390" s="14" t="n">
        <x:v>0</x:v>
      </x:c>
      <x:c r="M390" s="12" t="n">
        <x:f>IF(H390="Completed",I390*J390*(1-L390),0)</x:f>
        <x:v>877.8000000000001</x:v>
      </x:c>
      <x:c r="N390" s="12" t="n">
        <x:f>IF(H390="Completed",I390*K390,0)</x:f>
        <x:v>516.66</x:v>
      </x:c>
      <x:c r="O390" s="12" t="n">
        <x:f>M390-N390</x:f>
        <x:v>361.1400000000001</x:v>
      </x:c>
      <x:c r="P390" s="16" t="n">
        <x:f>IFERROR(O390/M390,0)</x:f>
        <x:v>0.4114149008885852</x:v>
      </x:c>
      <x:c r="Q390" t="n">
        <x:f>YEAR(B390)</x:f>
        <x:v>2025</x:v>
      </x:c>
      <x:c r="R390" t="str">
        <x:f>TEXT(B390,"yyyy-mm")</x:f>
        <x:v>2025-01</x:v>
      </x:c>
    </x:row>
    <x:row r="391">
      <x:c r="A391" t="n">
        <x:v>10277</x:v>
      </x:c>
      <x:c r="B391" s="10" t="n">
        <x:v>45681</x:v>
      </x:c>
      <x:c r="C391" t="str">
        <x:v>P002</x:v>
      </x:c>
      <x:c r="D391" t="str">
        <x:v>Monitor</x:v>
      </x:c>
      <x:c r="E391" t="str">
        <x:v>Electronics</x:v>
      </x:c>
      <x:c r="F391" t="str">
        <x:v>Scotland</x:v>
      </x:c>
      <x:c r="G391" t="str">
        <x:v>Retail</x:v>
      </x:c>
      <x:c r="H391" t="str">
        <x:v>Completed</x:v>
      </x:c>
      <x:c r="I391" t="n">
        <x:v>3</x:v>
      </x:c>
      <x:c r="J391" s="12" t="n">
        <x:v>279.53</x:v>
      </x:c>
      <x:c r="K391" s="12" t="n">
        <x:v>172.65</x:v>
      </x:c>
      <x:c r="L391" s="14" t="n">
        <x:v>0</x:v>
      </x:c>
      <x:c r="M391" s="12" t="n">
        <x:f>IF(H391="Completed",I391*J391*(1-L391),0)</x:f>
        <x:v>838.5899999999999</x:v>
      </x:c>
      <x:c r="N391" s="12" t="n">
        <x:f>IF(H391="Completed",I391*K391,0)</x:f>
        <x:v>517.95</x:v>
      </x:c>
      <x:c r="O391" s="12" t="n">
        <x:f>M391-N391</x:f>
        <x:v>320.6399999999999</x:v>
      </x:c>
      <x:c r="P391" s="16" t="n">
        <x:f>IFERROR(O391/M391,0)</x:f>
        <x:v>0.38235609773548446</x:v>
      </x:c>
      <x:c r="Q391" t="n">
        <x:f>YEAR(B391)</x:f>
        <x:v>2025</x:v>
      </x:c>
      <x:c r="R391" t="str">
        <x:f>TEXT(B391,"yyyy-mm")</x:f>
        <x:v>2025-01</x:v>
      </x:c>
    </x:row>
    <x:row r="392">
      <x:c r="A392" t="n">
        <x:v>10903</x:v>
      </x:c>
      <x:c r="B392" s="10" t="n">
        <x:v>45681</x:v>
      </x:c>
      <x:c r="C392" t="str">
        <x:v>P006</x:v>
      </x:c>
      <x:c r="D392" t="str">
        <x:v>Chair</x:v>
      </x:c>
      <x:c r="E392" t="str">
        <x:v>Furniture</x:v>
      </x:c>
      <x:c r="F392" t="str">
        <x:v>South</x:v>
      </x:c>
      <x:c r="G392" t="str">
        <x:v>Online</x:v>
      </x:c>
      <x:c r="H392" t="str">
        <x:v>Completed</x:v>
      </x:c>
      <x:c r="I392" t="n">
        <x:v>2</x:v>
      </x:c>
      <x:c r="J392" s="12" t="n">
        <x:v>137.94</x:v>
      </x:c>
      <x:c r="K392" s="12" t="n">
        <x:v>68.55</x:v>
      </x:c>
      <x:c r="L392" s="14" t="n">
        <x:v>0</x:v>
      </x:c>
      <x:c r="M392" s="12" t="n">
        <x:f>IF(H392="Completed",I392*J392*(1-L392),0)</x:f>
        <x:v>275.88</x:v>
      </x:c>
      <x:c r="N392" s="12" t="n">
        <x:f>IF(H392="Completed",I392*K392,0)</x:f>
        <x:v>137.1</x:v>
      </x:c>
      <x:c r="O392" s="12" t="n">
        <x:f>M392-N392</x:f>
        <x:v>138.78</x:v>
      </x:c>
      <x:c r="P392" s="16" t="n">
        <x:f>IFERROR(O392/M392,0)</x:f>
        <x:v>0.5030448020878643</x:v>
      </x:c>
      <x:c r="Q392" t="n">
        <x:f>YEAR(B392)</x:f>
        <x:v>2025</x:v>
      </x:c>
      <x:c r="R392" t="str">
        <x:f>TEXT(B392,"yyyy-mm")</x:f>
        <x:v>2025-01</x:v>
      </x:c>
    </x:row>
    <x:row r="393">
      <x:c r="A393" t="n">
        <x:v>10043</x:v>
      </x:c>
      <x:c r="B393" s="10" t="n">
        <x:v>45683</x:v>
      </x:c>
      <x:c r="C393" t="str">
        <x:v>P001</x:v>
      </x:c>
      <x:c r="D393" t="str">
        <x:v>Laptop</x:v>
      </x:c>
      <x:c r="E393" t="str">
        <x:v>Electronics</x:v>
      </x:c>
      <x:c r="F393" t="str">
        <x:v>North</x:v>
      </x:c>
      <x:c r="G393" t="str">
        <x:v>Retail</x:v>
      </x:c>
      <x:c r="H393" t="str">
        <x:v>Completed</x:v>
      </x:c>
      <x:c r="I393" t="n">
        <x:v>4</x:v>
      </x:c>
      <x:c r="J393" s="12" t="n">
        <x:v>912.05</x:v>
      </x:c>
      <x:c r="K393" s="12" t="n">
        <x:v>632.26</x:v>
      </x:c>
      <x:c r="L393" s="14" t="n">
        <x:v>0</x:v>
      </x:c>
      <x:c r="M393" s="12" t="n">
        <x:f>IF(H393="Completed",I393*J393*(1-L393),0)</x:f>
        <x:v>3648.2</x:v>
      </x:c>
      <x:c r="N393" s="12" t="n">
        <x:f>IF(H393="Completed",I393*K393,0)</x:f>
        <x:v>2529.04</x:v>
      </x:c>
      <x:c r="O393" s="12" t="n">
        <x:f>M393-N393</x:f>
        <x:v>1119.1599999999999</x:v>
      </x:c>
      <x:c r="P393" s="16" t="n">
        <x:f>IFERROR(O393/M393,0)</x:f>
        <x:v>0.3067704621457157</x:v>
      </x:c>
      <x:c r="Q393" t="n">
        <x:f>YEAR(B393)</x:f>
        <x:v>2025</x:v>
      </x:c>
      <x:c r="R393" t="str">
        <x:f>TEXT(B393,"yyyy-mm")</x:f>
        <x:v>2025-01</x:v>
      </x:c>
    </x:row>
    <x:row r="394">
      <x:c r="A394" t="n">
        <x:v>10340</x:v>
      </x:c>
      <x:c r="B394" s="10" t="n">
        <x:v>45684</x:v>
      </x:c>
      <x:c r="C394" t="str">
        <x:v>P003</x:v>
      </x:c>
      <x:c r="D394" t="str">
        <x:v>Keyboard</x:v>
      </x:c>
      <x:c r="E394" t="str">
        <x:v>Accessories</x:v>
      </x:c>
      <x:c r="F394" t="str">
        <x:v>Wales</x:v>
      </x:c>
      <x:c r="G394" t="str">
        <x:v>Partner</x:v>
      </x:c>
      <x:c r="H394" t="str">
        <x:v>Cancelled</x:v>
      </x:c>
      <x:c r="I394" t="n">
        <x:v>2</x:v>
      </x:c>
      <x:c r="J394" s="12" t="n">
        <x:v>50.07</x:v>
      </x:c>
      <x:c r="K394" s="12" t="n">
        <x:v>26.03</x:v>
      </x:c>
      <x:c r="L394" s="14" t="n">
        <x:v>0.15</x:v>
      </x:c>
      <x:c r="M394" s="12" t="n">
        <x:f>IF(H394="Completed",I394*J394*(1-L394),0)</x:f>
        <x:v>0</x:v>
      </x:c>
      <x:c r="N394" s="12" t="n">
        <x:f>IF(H394="Completed",I394*K394,0)</x:f>
        <x:v>0</x:v>
      </x:c>
      <x:c r="O394" s="12" t="n">
        <x:f>M394-N394</x:f>
        <x:v>0</x:v>
      </x:c>
      <x:c r="P394" s="16" t="n">
        <x:f>IFERROR(O394/M394,0)</x:f>
        <x:v>0</x:v>
      </x:c>
      <x:c r="Q394" t="n">
        <x:f>YEAR(B394)</x:f>
        <x:v>2025</x:v>
      </x:c>
      <x:c r="R394" t="str">
        <x:f>TEXT(B394,"yyyy-mm")</x:f>
        <x:v>2025-01</x:v>
      </x:c>
    </x:row>
    <x:row r="395">
      <x:c r="A395" t="n">
        <x:v>10173</x:v>
      </x:c>
      <x:c r="B395" s="10" t="n">
        <x:v>45687</x:v>
      </x:c>
      <x:c r="C395" t="str">
        <x:v>P002</x:v>
      </x:c>
      <x:c r="D395" t="str">
        <x:v>Monitor</x:v>
      </x:c>
      <x:c r="E395" t="str">
        <x:v>Electronics</x:v>
      </x:c>
      <x:c r="F395" t="str">
        <x:v>North</x:v>
      </x:c>
      <x:c r="G395" t="str">
        <x:v>Online</x:v>
      </x:c>
      <x:c r="H395" t="str">
        <x:v>Completed</x:v>
      </x:c>
      <x:c r="I395" t="n">
        <x:v>3</x:v>
      </x:c>
      <x:c r="J395" s="12" t="n">
        <x:v>289.42</x:v>
      </x:c>
      <x:c r="K395" s="12" t="n">
        <x:v>173.33</x:v>
      </x:c>
      <x:c r="L395" s="14" t="n">
        <x:v>0.15</x:v>
      </x:c>
      <x:c r="M395" s="12" t="n">
        <x:f>IF(H395="Completed",I395*J395*(1-L395),0)</x:f>
        <x:v>738.021</x:v>
      </x:c>
      <x:c r="N395" s="12" t="n">
        <x:f>IF(H395="Completed",I395*K395,0)</x:f>
        <x:v>519.99</x:v>
      </x:c>
      <x:c r="O395" s="12" t="n">
        <x:f>M395-N395</x:f>
        <x:v>218.03099999999995</x:v>
      </x:c>
      <x:c r="P395" s="16" t="n">
        <x:f>IFERROR(O395/M395,0)</x:f>
        <x:v>0.2954265529029661</x:v>
      </x:c>
      <x:c r="Q395" t="n">
        <x:f>YEAR(B395)</x:f>
        <x:v>2025</x:v>
      </x:c>
      <x:c r="R395" t="str">
        <x:f>TEXT(B395,"yyyy-mm")</x:f>
        <x:v>2025-01</x:v>
      </x:c>
    </x:row>
    <x:row r="396">
      <x:c r="A396" t="n">
        <x:v>10212</x:v>
      </x:c>
      <x:c r="B396" s="10" t="n">
        <x:v>45687</x:v>
      </x:c>
      <x:c r="C396" t="str">
        <x:v>P008</x:v>
      </x:c>
      <x:c r="D396" t="str">
        <x:v>Webcam</x:v>
      </x:c>
      <x:c r="E396" t="str">
        <x:v>Electronics</x:v>
      </x:c>
      <x:c r="F396" t="str">
        <x:v>Scotland</x:v>
      </x:c>
      <x:c r="G396" t="str">
        <x:v>Retail</x:v>
      </x:c>
      <x:c r="H396" t="str">
        <x:v>Cancelled</x:v>
      </x:c>
      <x:c r="I396" t="n">
        <x:v>3</x:v>
      </x:c>
      <x:c r="J396" s="12" t="n">
        <x:v>87.13</x:v>
      </x:c>
      <x:c r="K396" s="12" t="n">
        <x:v>41.36</x:v>
      </x:c>
      <x:c r="L396" s="14" t="n">
        <x:v>0</x:v>
      </x:c>
      <x:c r="M396" s="12" t="n">
        <x:f>IF(H396="Completed",I396*J396*(1-L396),0)</x:f>
        <x:v>0</x:v>
      </x:c>
      <x:c r="N396" s="12" t="n">
        <x:f>IF(H396="Completed",I396*K396,0)</x:f>
        <x:v>0</x:v>
      </x:c>
      <x:c r="O396" s="12" t="n">
        <x:f>M396-N396</x:f>
        <x:v>0</x:v>
      </x:c>
      <x:c r="P396" s="16" t="n">
        <x:f>IFERROR(O396/M396,0)</x:f>
        <x:v>0</x:v>
      </x:c>
      <x:c r="Q396" t="n">
        <x:f>YEAR(B396)</x:f>
        <x:v>2025</x:v>
      </x:c>
      <x:c r="R396" t="str">
        <x:f>TEXT(B396,"yyyy-mm")</x:f>
        <x:v>2025-01</x:v>
      </x:c>
    </x:row>
    <x:row r="397">
      <x:c r="A397" t="n">
        <x:v>10365</x:v>
      </x:c>
      <x:c r="B397" s="10" t="n">
        <x:v>45689</x:v>
      </x:c>
      <x:c r="C397" t="str">
        <x:v>P006</x:v>
      </x:c>
      <x:c r="D397" t="str">
        <x:v>Chair</x:v>
      </x:c>
      <x:c r="E397" t="str">
        <x:v>Furniture</x:v>
      </x:c>
      <x:c r="F397" t="str">
        <x:v>North</x:v>
      </x:c>
      <x:c r="G397" t="str">
        <x:v>Retail</x:v>
      </x:c>
      <x:c r="H397" t="str">
        <x:v>Completed</x:v>
      </x:c>
      <x:c r="I397" t="n">
        <x:v>2</x:v>
      </x:c>
      <x:c r="J397" s="12" t="n">
        <x:v>131.22</x:v>
      </x:c>
      <x:c r="K397" s="12" t="n">
        <x:v>69.02</x:v>
      </x:c>
      <x:c r="L397" s="14" t="n">
        <x:v>0.1</x:v>
      </x:c>
      <x:c r="M397" s="12" t="n">
        <x:f>IF(H397="Completed",I397*J397*(1-L397),0)</x:f>
        <x:v>236.196</x:v>
      </x:c>
      <x:c r="N397" s="12" t="n">
        <x:f>IF(H397="Completed",I397*K397,0)</x:f>
        <x:v>138.04</x:v>
      </x:c>
      <x:c r="O397" s="12" t="n">
        <x:f>M397-N397</x:f>
        <x:v>98.156</x:v>
      </x:c>
      <x:c r="P397" s="16" t="n">
        <x:f>IFERROR(O397/M397,0)</x:f>
        <x:v>0.41557011973107083</x:v>
      </x:c>
      <x:c r="Q397" t="n">
        <x:f>YEAR(B397)</x:f>
        <x:v>2025</x:v>
      </x:c>
      <x:c r="R397" t="str">
        <x:f>TEXT(B397,"yyyy-mm")</x:f>
        <x:v>2025-02</x:v>
      </x:c>
    </x:row>
    <x:row r="398">
      <x:c r="A398" t="n">
        <x:v>10836</x:v>
      </x:c>
      <x:c r="B398" s="10" t="n">
        <x:v>45689</x:v>
      </x:c>
      <x:c r="C398" t="str">
        <x:v>P007</x:v>
      </x:c>
      <x:c r="D398" t="str">
        <x:v>Headset</x:v>
      </x:c>
      <x:c r="E398" t="str">
        <x:v>Accessories</x:v>
      </x:c>
      <x:c r="F398" t="str">
        <x:v>South</x:v>
      </x:c>
      <x:c r="G398" t="str">
        <x:v>Partner</x:v>
      </x:c>
      <x:c r="H398" t="str">
        <x:v>Completed</x:v>
      </x:c>
      <x:c r="I398" t="n">
        <x:v>3</x:v>
      </x:c>
      <x:c r="J398" s="12" t="n">
        <x:v>71.34</x:v>
      </x:c>
      <x:c r="K398" s="12" t="n">
        <x:v>35.7</x:v>
      </x:c>
      <x:c r="L398" s="14" t="n">
        <x:v>0</x:v>
      </x:c>
      <x:c r="M398" s="12" t="n">
        <x:f>IF(H398="Completed",I398*J398*(1-L398),0)</x:f>
        <x:v>214.02</x:v>
      </x:c>
      <x:c r="N398" s="12" t="n">
        <x:f>IF(H398="Completed",I398*K398,0)</x:f>
        <x:v>107.10000000000001</x:v>
      </x:c>
      <x:c r="O398" s="12" t="n">
        <x:f>M398-N398</x:f>
        <x:v>106.92</x:v>
      </x:c>
      <x:c r="P398" s="16" t="n">
        <x:f>IFERROR(O398/M398,0)</x:f>
        <x:v>0.49957947855340623</x:v>
      </x:c>
      <x:c r="Q398" t="n">
        <x:f>YEAR(B398)</x:f>
        <x:v>2025</x:v>
      </x:c>
      <x:c r="R398" t="str">
        <x:f>TEXT(B398,"yyyy-mm")</x:f>
        <x:v>2025-02</x:v>
      </x:c>
    </x:row>
    <x:row r="399">
      <x:c r="A399" t="n">
        <x:v>10838</x:v>
      </x:c>
      <x:c r="B399" s="10" t="n">
        <x:v>45689</x:v>
      </x:c>
      <x:c r="C399" t="str">
        <x:v>P008</x:v>
      </x:c>
      <x:c r="D399" t="str">
        <x:v>Webcam</x:v>
      </x:c>
      <x:c r="E399" t="str">
        <x:v>Electronics</x:v>
      </x:c>
      <x:c r="F399" t="str">
        <x:v>South</x:v>
      </x:c>
      <x:c r="G399" t="str">
        <x:v>Online</x:v>
      </x:c>
      <x:c r="H399" t="str">
        <x:v>Completed</x:v>
      </x:c>
      <x:c r="I399" t="n">
        <x:v>3</x:v>
      </x:c>
      <x:c r="J399" s="12" t="n">
        <x:v>90.15</x:v>
      </x:c>
      <x:c r="K399" s="12" t="n">
        <x:v>42.07</x:v>
      </x:c>
      <x:c r="L399" s="14" t="n">
        <x:v>0</x:v>
      </x:c>
      <x:c r="M399" s="12" t="n">
        <x:f>IF(H399="Completed",I399*J399*(1-L399),0)</x:f>
        <x:v>270.45000000000005</x:v>
      </x:c>
      <x:c r="N399" s="12" t="n">
        <x:f>IF(H399="Completed",I399*K399,0)</x:f>
        <x:v>126.21000000000001</x:v>
      </x:c>
      <x:c r="O399" s="12" t="n">
        <x:f>M399-N399</x:f>
        <x:v>144.24000000000004</x:v>
      </x:c>
      <x:c r="P399" s="16" t="n">
        <x:f>IFERROR(O399/M399,0)</x:f>
        <x:v>0.5333333333333334</x:v>
      </x:c>
      <x:c r="Q399" t="n">
        <x:f>YEAR(B399)</x:f>
        <x:v>2025</x:v>
      </x:c>
      <x:c r="R399" t="str">
        <x:f>TEXT(B399,"yyyy-mm")</x:f>
        <x:v>2025-02</x:v>
      </x:c>
    </x:row>
    <x:row r="400">
      <x:c r="A400" t="n">
        <x:v>10693</x:v>
      </x:c>
      <x:c r="B400" s="10" t="n">
        <x:v>45691</x:v>
      </x:c>
      <x:c r="C400" t="str">
        <x:v>P002</x:v>
      </x:c>
      <x:c r="D400" t="str">
        <x:v>Monitor</x:v>
      </x:c>
      <x:c r="E400" t="str">
        <x:v>Electronics</x:v>
      </x:c>
      <x:c r="F400" t="str">
        <x:v>South</x:v>
      </x:c>
      <x:c r="G400" t="str">
        <x:v>Partner</x:v>
      </x:c>
      <x:c r="H400" t="str">
        <x:v>Completed</x:v>
      </x:c>
      <x:c r="I400" t="n">
        <x:v>3</x:v>
      </x:c>
      <x:c r="J400" s="12" t="n">
        <x:v>280.23</x:v>
      </x:c>
      <x:c r="K400" s="12" t="n">
        <x:v>166.9</x:v>
      </x:c>
      <x:c r="L400" s="14" t="n">
        <x:v>0.15</x:v>
      </x:c>
      <x:c r="M400" s="12" t="n">
        <x:f>IF(H400="Completed",I400*J400*(1-L400),0)</x:f>
        <x:v>714.5865</x:v>
      </x:c>
      <x:c r="N400" s="12" t="n">
        <x:f>IF(H400="Completed",I400*K400,0)</x:f>
        <x:v>500.70000000000005</x:v>
      </x:c>
      <x:c r="O400" s="12" t="n">
        <x:f>M400-N400</x:f>
        <x:v>213.88649999999996</x:v>
      </x:c>
      <x:c r="P400" s="16" t="n">
        <x:f>IFERROR(O400/M400,0)</x:f>
        <x:v>0.29931505842889555</x:v>
      </x:c>
      <x:c r="Q400" t="n">
        <x:f>YEAR(B400)</x:f>
        <x:v>2025</x:v>
      </x:c>
      <x:c r="R400" t="str">
        <x:f>TEXT(B400,"yyyy-mm")</x:f>
        <x:v>2025-02</x:v>
      </x:c>
    </x:row>
    <x:row r="401">
      <x:c r="A401" t="n">
        <x:v>10474</x:v>
      </x:c>
      <x:c r="B401" s="10" t="n">
        <x:v>45692</x:v>
      </x:c>
      <x:c r="C401" t="str">
        <x:v>P005</x:v>
      </x:c>
      <x:c r="D401" t="str">
        <x:v>Desk</x:v>
      </x:c>
      <x:c r="E401" t="str">
        <x:v>Furniture</x:v>
      </x:c>
      <x:c r="F401" t="str">
        <x:v>Midlands</x:v>
      </x:c>
      <x:c r="G401" t="str">
        <x:v>Partner</x:v>
      </x:c>
      <x:c r="H401" t="str">
        <x:v>Completed</x:v>
      </x:c>
      <x:c r="I401" t="n">
        <x:v>2</x:v>
      </x:c>
      <x:c r="J401" s="12" t="n">
        <x:v>277.41</x:v>
      </x:c>
      <x:c r="K401" s="12" t="n">
        <x:v>156.2</x:v>
      </x:c>
      <x:c r="L401" s="14" t="n">
        <x:v>0</x:v>
      </x:c>
      <x:c r="M401" s="12" t="n">
        <x:f>IF(H401="Completed",I401*J401*(1-L401),0)</x:f>
        <x:v>554.82</x:v>
      </x:c>
      <x:c r="N401" s="12" t="n">
        <x:f>IF(H401="Completed",I401*K401,0)</x:f>
        <x:v>312.4</x:v>
      </x:c>
      <x:c r="O401" s="12" t="n">
        <x:f>M401-N401</x:f>
        <x:v>242.42000000000007</x:v>
      </x:c>
      <x:c r="P401" s="16" t="n">
        <x:f>IFERROR(O401/M401,0)</x:f>
        <x:v>0.4369345012796944</x:v>
      </x:c>
      <x:c r="Q401" t="n">
        <x:f>YEAR(B401)</x:f>
        <x:v>2025</x:v>
      </x:c>
      <x:c r="R401" t="str">
        <x:f>TEXT(B401,"yyyy-mm")</x:f>
        <x:v>2025-02</x:v>
      </x:c>
    </x:row>
    <x:row r="402">
      <x:c r="A402" t="n">
        <x:v>10163</x:v>
      </x:c>
      <x:c r="B402" s="10" t="n">
        <x:v>45693</x:v>
      </x:c>
      <x:c r="C402" t="str">
        <x:v>P003</x:v>
      </x:c>
      <x:c r="D402" t="str">
        <x:v>Keyboard</x:v>
      </x:c>
      <x:c r="E402" t="str">
        <x:v>Accessories</x:v>
      </x:c>
      <x:c r="F402" t="str">
        <x:v>Midlands</x:v>
      </x:c>
      <x:c r="G402" t="str">
        <x:v>Online</x:v>
      </x:c>
      <x:c r="H402" t="str">
        <x:v>Completed</x:v>
      </x:c>
      <x:c r="I402" t="n">
        <x:v>1</x:v>
      </x:c>
      <x:c r="J402" s="12" t="n">
        <x:v>49.83</x:v>
      </x:c>
      <x:c r="K402" s="12" t="n">
        <x:v>26.56</x:v>
      </x:c>
      <x:c r="L402" s="14" t="n">
        <x:v>0</x:v>
      </x:c>
      <x:c r="M402" s="12" t="n">
        <x:f>IF(H402="Completed",I402*J402*(1-L402),0)</x:f>
        <x:v>49.83</x:v>
      </x:c>
      <x:c r="N402" s="12" t="n">
        <x:f>IF(H402="Completed",I402*K402,0)</x:f>
        <x:v>26.56</x:v>
      </x:c>
      <x:c r="O402" s="12" t="n">
        <x:f>M402-N402</x:f>
        <x:v>23.27</x:v>
      </x:c>
      <x:c r="P402" s="16" t="n">
        <x:f>IFERROR(O402/M402,0)</x:f>
        <x:v>0.4669877583784869</x:v>
      </x:c>
      <x:c r="Q402" t="n">
        <x:f>YEAR(B402)</x:f>
        <x:v>2025</x:v>
      </x:c>
      <x:c r="R402" t="str">
        <x:f>TEXT(B402,"yyyy-mm")</x:f>
        <x:v>2025-02</x:v>
      </x:c>
    </x:row>
    <x:row r="403">
      <x:c r="A403" t="n">
        <x:v>10646</x:v>
      </x:c>
      <x:c r="B403" s="10" t="n">
        <x:v>45693</x:v>
      </x:c>
      <x:c r="C403" t="str">
        <x:v>P003</x:v>
      </x:c>
      <x:c r="D403" t="str">
        <x:v>Keyboard</x:v>
      </x:c>
      <x:c r="E403" t="str">
        <x:v>Accessories</x:v>
      </x:c>
      <x:c r="F403" t="str">
        <x:v>South</x:v>
      </x:c>
      <x:c r="G403" t="str">
        <x:v>Online</x:v>
      </x:c>
      <x:c r="H403" t="str">
        <x:v>Completed</x:v>
      </x:c>
      <x:c r="I403" t="n">
        <x:v>4</x:v>
      </x:c>
      <x:c r="J403" s="12" t="n">
        <x:v>50.13</x:v>
      </x:c>
      <x:c r="K403" s="12" t="n">
        <x:v>26.53</x:v>
      </x:c>
      <x:c r="L403" s="14" t="n">
        <x:v>0.15</x:v>
      </x:c>
      <x:c r="M403" s="12" t="n">
        <x:f>IF(H403="Completed",I403*J403*(1-L403),0)</x:f>
        <x:v>170.442</x:v>
      </x:c>
      <x:c r="N403" s="12" t="n">
        <x:f>IF(H403="Completed",I403*K403,0)</x:f>
        <x:v>106.12</x:v>
      </x:c>
      <x:c r="O403" s="12" t="n">
        <x:f>M403-N403</x:f>
        <x:v>64.322</x:v>
      </x:c>
      <x:c r="P403" s="16" t="n">
        <x:f>IFERROR(O403/M403,0)</x:f>
        <x:v>0.37738350875957805</x:v>
      </x:c>
      <x:c r="Q403" t="n">
        <x:f>YEAR(B403)</x:f>
        <x:v>2025</x:v>
      </x:c>
      <x:c r="R403" t="str">
        <x:f>TEXT(B403,"yyyy-mm")</x:f>
        <x:v>2025-02</x:v>
      </x:c>
    </x:row>
    <x:row r="404">
      <x:c r="A404" t="n">
        <x:v>10852</x:v>
      </x:c>
      <x:c r="B404" s="10" t="n">
        <x:v>45693</x:v>
      </x:c>
      <x:c r="C404" t="str">
        <x:v>P001</x:v>
      </x:c>
      <x:c r="D404" t="str">
        <x:v>Laptop</x:v>
      </x:c>
      <x:c r="E404" t="str">
        <x:v>Electronics</x:v>
      </x:c>
      <x:c r="F404" t="str">
        <x:v>North</x:v>
      </x:c>
      <x:c r="G404" t="str">
        <x:v>Retail</x:v>
      </x:c>
      <x:c r="H404" t="str">
        <x:v>Completed</x:v>
      </x:c>
      <x:c r="I404" t="n">
        <x:v>3</x:v>
      </x:c>
      <x:c r="J404" s="12" t="n">
        <x:v>947.05</x:v>
      </x:c>
      <x:c r="K404" s="12" t="n">
        <x:v>630.45</x:v>
      </x:c>
      <x:c r="L404" s="14" t="n">
        <x:v>0.05</x:v>
      </x:c>
      <x:c r="M404" s="12" t="n">
        <x:f>IF(H404="Completed",I404*J404*(1-L404),0)</x:f>
        <x:v>2699.0924999999997</x:v>
      </x:c>
      <x:c r="N404" s="12" t="n">
        <x:f>IF(H404="Completed",I404*K404,0)</x:f>
        <x:v>1891.3500000000001</x:v>
      </x:c>
      <x:c r="O404" s="12" t="n">
        <x:f>M404-N404</x:f>
        <x:v>807.7424999999996</x:v>
      </x:c>
      <x:c r="P404" s="16" t="n">
        <x:f>IFERROR(O404/M404,0)</x:f>
        <x:v>0.2992644750040985</x:v>
      </x:c>
      <x:c r="Q404" t="n">
        <x:f>YEAR(B404)</x:f>
        <x:v>2025</x:v>
      </x:c>
      <x:c r="R404" t="str">
        <x:f>TEXT(B404,"yyyy-mm")</x:f>
        <x:v>2025-02</x:v>
      </x:c>
    </x:row>
    <x:row r="405">
      <x:c r="A405" t="n">
        <x:v>10349</x:v>
      </x:c>
      <x:c r="B405" s="10" t="n">
        <x:v>45695</x:v>
      </x:c>
      <x:c r="C405" t="str">
        <x:v>P002</x:v>
      </x:c>
      <x:c r="D405" t="str">
        <x:v>Monitor</x:v>
      </x:c>
      <x:c r="E405" t="str">
        <x:v>Electronics</x:v>
      </x:c>
      <x:c r="F405" t="str">
        <x:v>Midlands</x:v>
      </x:c>
      <x:c r="G405" t="str">
        <x:v>Partner</x:v>
      </x:c>
      <x:c r="H405" t="str">
        <x:v>Completed</x:v>
      </x:c>
      <x:c r="I405" t="n">
        <x:v>1</x:v>
      </x:c>
      <x:c r="J405" s="12" t="n">
        <x:v>281.66</x:v>
      </x:c>
      <x:c r="K405" s="12" t="n">
        <x:v>169.28</x:v>
      </x:c>
      <x:c r="L405" s="14" t="n">
        <x:v>0</x:v>
      </x:c>
      <x:c r="M405" s="12" t="n">
        <x:f>IF(H405="Completed",I405*J405*(1-L405),0)</x:f>
        <x:v>281.66</x:v>
      </x:c>
      <x:c r="N405" s="12" t="n">
        <x:f>IF(H405="Completed",I405*K405,0)</x:f>
        <x:v>169.28</x:v>
      </x:c>
      <x:c r="O405" s="12" t="n">
        <x:f>M405-N405</x:f>
        <x:v>112.38000000000002</x:v>
      </x:c>
      <x:c r="P405" s="16" t="n">
        <x:f>IFERROR(O405/M405,0)</x:f>
        <x:v>0.39899169211105595</x:v>
      </x:c>
      <x:c r="Q405" t="n">
        <x:f>YEAR(B405)</x:f>
        <x:v>2025</x:v>
      </x:c>
      <x:c r="R405" t="str">
        <x:f>TEXT(B405,"yyyy-mm")</x:f>
        <x:v>2025-02</x:v>
      </x:c>
    </x:row>
    <x:row r="406">
      <x:c r="A406" t="n">
        <x:v>10515</x:v>
      </x:c>
      <x:c r="B406" s="10" t="n">
        <x:v>45696</x:v>
      </x:c>
      <x:c r="C406" t="str">
        <x:v>P007</x:v>
      </x:c>
      <x:c r="D406" t="str">
        <x:v>Headset</x:v>
      </x:c>
      <x:c r="E406" t="str">
        <x:v>Accessories</x:v>
      </x:c>
      <x:c r="F406" t="str">
        <x:v>South</x:v>
      </x:c>
      <x:c r="G406" t="str">
        <x:v>Retail</x:v>
      </x:c>
      <x:c r="H406" t="str">
        <x:v>Completed</x:v>
      </x:c>
      <x:c r="I406" t="n">
        <x:v>2</x:v>
      </x:c>
      <x:c r="J406" s="12" t="n">
        <x:v>72.61</x:v>
      </x:c>
      <x:c r="K406" s="12" t="n">
        <x:v>35.57</x:v>
      </x:c>
      <x:c r="L406" s="14" t="n">
        <x:v>0</x:v>
      </x:c>
      <x:c r="M406" s="12" t="n">
        <x:f>IF(H406="Completed",I406*J406*(1-L406),0)</x:f>
        <x:v>145.22</x:v>
      </x:c>
      <x:c r="N406" s="12" t="n">
        <x:f>IF(H406="Completed",I406*K406,0)</x:f>
        <x:v>71.14</x:v>
      </x:c>
      <x:c r="O406" s="12" t="n">
        <x:f>M406-N406</x:f>
        <x:v>74.08</x:v>
      </x:c>
      <x:c r="P406" s="16" t="n">
        <x:f>IFERROR(O406/M406,0)</x:f>
        <x:v>0.5101225726483956</x:v>
      </x:c>
      <x:c r="Q406" t="n">
        <x:f>YEAR(B406)</x:f>
        <x:v>2025</x:v>
      </x:c>
      <x:c r="R406" t="str">
        <x:f>TEXT(B406,"yyyy-mm")</x:f>
        <x:v>2025-02</x:v>
      </x:c>
    </x:row>
    <x:row r="407">
      <x:c r="A407" t="n">
        <x:v>10848</x:v>
      </x:c>
      <x:c r="B407" s="10" t="n">
        <x:v>45696</x:v>
      </x:c>
      <x:c r="C407" t="str">
        <x:v>P005</x:v>
      </x:c>
      <x:c r="D407" t="str">
        <x:v>Desk</x:v>
      </x:c>
      <x:c r="E407" t="str">
        <x:v>Furniture</x:v>
      </x:c>
      <x:c r="F407" t="str">
        <x:v>North</x:v>
      </x:c>
      <x:c r="G407" t="str">
        <x:v>Online</x:v>
      </x:c>
      <x:c r="H407" t="str">
        <x:v>Completed</x:v>
      </x:c>
      <x:c r="I407" t="n">
        <x:v>1</x:v>
      </x:c>
      <x:c r="J407" s="12" t="n">
        <x:v>280.15</x:v>
      </x:c>
      <x:c r="K407" s="12" t="n">
        <x:v>153.36</x:v>
      </x:c>
      <x:c r="L407" s="14" t="n">
        <x:v>0</x:v>
      </x:c>
      <x:c r="M407" s="12" t="n">
        <x:f>IF(H407="Completed",I407*J407*(1-L407),0)</x:f>
        <x:v>280.15</x:v>
      </x:c>
      <x:c r="N407" s="12" t="n">
        <x:f>IF(H407="Completed",I407*K407,0)</x:f>
        <x:v>153.36</x:v>
      </x:c>
      <x:c r="O407" s="12" t="n">
        <x:f>M407-N407</x:f>
        <x:v>126.78999999999996</x:v>
      </x:c>
      <x:c r="P407" s="16" t="n">
        <x:f>IFERROR(O407/M407,0)</x:f>
        <x:v>0.45257897554881305</x:v>
      </x:c>
      <x:c r="Q407" t="n">
        <x:f>YEAR(B407)</x:f>
        <x:v>2025</x:v>
      </x:c>
      <x:c r="R407" t="str">
        <x:f>TEXT(B407,"yyyy-mm")</x:f>
        <x:v>2025-02</x:v>
      </x:c>
    </x:row>
    <x:row r="408">
      <x:c r="A408" t="n">
        <x:v>10152</x:v>
      </x:c>
      <x:c r="B408" s="10" t="n">
        <x:v>45697</x:v>
      </x:c>
      <x:c r="C408" t="str">
        <x:v>P005</x:v>
      </x:c>
      <x:c r="D408" t="str">
        <x:v>Desk</x:v>
      </x:c>
      <x:c r="E408" t="str">
        <x:v>Furniture</x:v>
      </x:c>
      <x:c r="F408" t="str">
        <x:v>North</x:v>
      </x:c>
      <x:c r="G408" t="str">
        <x:v>Retail</x:v>
      </x:c>
      <x:c r="H408" t="str">
        <x:v>Completed</x:v>
      </x:c>
      <x:c r="I408" t="n">
        <x:v>3</x:v>
      </x:c>
      <x:c r="J408" s="12" t="n">
        <x:v>278.94</x:v>
      </x:c>
      <x:c r="K408" s="12" t="n">
        <x:v>156.01</x:v>
      </x:c>
      <x:c r="L408" s="14" t="n">
        <x:v>0.1</x:v>
      </x:c>
      <x:c r="M408" s="12" t="n">
        <x:f>IF(H408="Completed",I408*J408*(1-L408),0)</x:f>
        <x:v>753.1379999999999</x:v>
      </x:c>
      <x:c r="N408" s="12" t="n">
        <x:f>IF(H408="Completed",I408*K408,0)</x:f>
        <x:v>468.03</x:v>
      </x:c>
      <x:c r="O408" s="12" t="n">
        <x:f>M408-N408</x:f>
        <x:v>285.10799999999995</x:v>
      </x:c>
      <x:c r="P408" s="16" t="n">
        <x:f>IFERROR(O408/M408,0)</x:f>
        <x:v>0.3785601045226771</x:v>
      </x:c>
      <x:c r="Q408" t="n">
        <x:f>YEAR(B408)</x:f>
        <x:v>2025</x:v>
      </x:c>
      <x:c r="R408" t="str">
        <x:f>TEXT(B408,"yyyy-mm")</x:f>
        <x:v>2025-02</x:v>
      </x:c>
    </x:row>
    <x:row r="409">
      <x:c r="A409" t="n">
        <x:v>10394</x:v>
      </x:c>
      <x:c r="B409" s="10" t="n">
        <x:v>45697</x:v>
      </x:c>
      <x:c r="C409" t="str">
        <x:v>P006</x:v>
      </x:c>
      <x:c r="D409" t="str">
        <x:v>Chair</x:v>
      </x:c>
      <x:c r="E409" t="str">
        <x:v>Furniture</x:v>
      </x:c>
      <x:c r="F409" t="str">
        <x:v>North</x:v>
      </x:c>
      <x:c r="G409" t="str">
        <x:v>Online</x:v>
      </x:c>
      <x:c r="H409" t="str">
        <x:v>Completed</x:v>
      </x:c>
      <x:c r="I409" t="n">
        <x:v>2</x:v>
      </x:c>
      <x:c r="J409" s="12" t="n">
        <x:v>131.14</x:v>
      </x:c>
      <x:c r="K409" s="12" t="n">
        <x:v>69.42</x:v>
      </x:c>
      <x:c r="L409" s="14" t="n">
        <x:v>0</x:v>
      </x:c>
      <x:c r="M409" s="12" t="n">
        <x:f>IF(H409="Completed",I409*J409*(1-L409),0)</x:f>
        <x:v>262.28</x:v>
      </x:c>
      <x:c r="N409" s="12" t="n">
        <x:f>IF(H409="Completed",I409*K409,0)</x:f>
        <x:v>138.84</x:v>
      </x:c>
      <x:c r="O409" s="12" t="n">
        <x:f>M409-N409</x:f>
        <x:v>123.43999999999997</x:v>
      </x:c>
      <x:c r="P409" s="16" t="n">
        <x:f>IFERROR(O409/M409,0)</x:f>
        <x:v>0.47064206191856023</x:v>
      </x:c>
      <x:c r="Q409" t="n">
        <x:f>YEAR(B409)</x:f>
        <x:v>2025</x:v>
      </x:c>
      <x:c r="R409" t="str">
        <x:f>TEXT(B409,"yyyy-mm")</x:f>
        <x:v>2025-02</x:v>
      </x:c>
    </x:row>
    <x:row r="410">
      <x:c r="A410" t="n">
        <x:v>10541</x:v>
      </x:c>
      <x:c r="B410" s="10" t="n">
        <x:v>45698</x:v>
      </x:c>
      <x:c r="C410" t="str">
        <x:v>P002</x:v>
      </x:c>
      <x:c r="D410" t="str">
        <x:v>Monitor</x:v>
      </x:c>
      <x:c r="E410" t="str">
        <x:v>Electronics</x:v>
      </x:c>
      <x:c r="F410" t="str">
        <x:v>Midlands</x:v>
      </x:c>
      <x:c r="G410" t="str">
        <x:v>Online</x:v>
      </x:c>
      <x:c r="H410" t="str">
        <x:v>Completed</x:v>
      </x:c>
      <x:c r="I410" t="n">
        <x:v>1</x:v>
      </x:c>
      <x:c r="J410" s="12" t="n">
        <x:v>281.03</x:v>
      </x:c>
      <x:c r="K410" s="12" t="n">
        <x:v>172.87</x:v>
      </x:c>
      <x:c r="L410" s="14" t="n">
        <x:v>0</x:v>
      </x:c>
      <x:c r="M410" s="12" t="n">
        <x:f>IF(H410="Completed",I410*J410*(1-L410),0)</x:f>
        <x:v>281.03</x:v>
      </x:c>
      <x:c r="N410" s="12" t="n">
        <x:f>IF(H410="Completed",I410*K410,0)</x:f>
        <x:v>172.87</x:v>
      </x:c>
      <x:c r="O410" s="12" t="n">
        <x:f>M410-N410</x:f>
        <x:v>108.15999999999997</x:v>
      </x:c>
      <x:c r="P410" s="16" t="n">
        <x:f>IFERROR(O410/M410,0)</x:f>
        <x:v>0.38486994271074254</x:v>
      </x:c>
      <x:c r="Q410" t="n">
        <x:f>YEAR(B410)</x:f>
        <x:v>2025</x:v>
      </x:c>
      <x:c r="R410" t="str">
        <x:f>TEXT(B410,"yyyy-mm")</x:f>
        <x:v>2025-02</x:v>
      </x:c>
    </x:row>
    <x:row r="411">
      <x:c r="A411" t="n">
        <x:v>10183</x:v>
      </x:c>
      <x:c r="B411" s="10" t="n">
        <x:v>45699</x:v>
      </x:c>
      <x:c r="C411" t="str">
        <x:v>P008</x:v>
      </x:c>
      <x:c r="D411" t="str">
        <x:v>Webcam</x:v>
      </x:c>
      <x:c r="E411" t="str">
        <x:v>Electronics</x:v>
      </x:c>
      <x:c r="F411" t="str">
        <x:v>North</x:v>
      </x:c>
      <x:c r="G411" t="str">
        <x:v>Retail</x:v>
      </x:c>
      <x:c r="H411" t="str">
        <x:v>Completed</x:v>
      </x:c>
      <x:c r="I411" t="n">
        <x:v>3</x:v>
      </x:c>
      <x:c r="J411" s="12" t="n">
        <x:v>91.7</x:v>
      </x:c>
      <x:c r="K411" s="12" t="n">
        <x:v>41.26</x:v>
      </x:c>
      <x:c r="L411" s="14" t="n">
        <x:v>0</x:v>
      </x:c>
      <x:c r="M411" s="12" t="n">
        <x:f>IF(H411="Completed",I411*J411*(1-L411),0)</x:f>
        <x:v>275.1</x:v>
      </x:c>
      <x:c r="N411" s="12" t="n">
        <x:f>IF(H411="Completed",I411*K411,0)</x:f>
        <x:v>123.78</x:v>
      </x:c>
      <x:c r="O411" s="12" t="n">
        <x:f>M411-N411</x:f>
        <x:v>151.32000000000002</x:v>
      </x:c>
      <x:c r="P411" s="16" t="n">
        <x:f>IFERROR(O411/M411,0)</x:f>
        <x:v>0.5500545256270447</x:v>
      </x:c>
      <x:c r="Q411" t="n">
        <x:f>YEAR(B411)</x:f>
        <x:v>2025</x:v>
      </x:c>
      <x:c r="R411" t="str">
        <x:f>TEXT(B411,"yyyy-mm")</x:f>
        <x:v>2025-02</x:v>
      </x:c>
    </x:row>
    <x:row r="412">
      <x:c r="A412" t="n">
        <x:v>10332</x:v>
      </x:c>
      <x:c r="B412" s="10" t="n">
        <x:v>45699</x:v>
      </x:c>
      <x:c r="C412" t="str">
        <x:v>P005</x:v>
      </x:c>
      <x:c r="D412" t="str">
        <x:v>Desk</x:v>
      </x:c>
      <x:c r="E412" t="str">
        <x:v>Furniture</x:v>
      </x:c>
      <x:c r="F412" t="str">
        <x:v>Midlands</x:v>
      </x:c>
      <x:c r="G412" t="str">
        <x:v>Online</x:v>
      </x:c>
      <x:c r="H412" t="str">
        <x:v>Cancelled</x:v>
      </x:c>
      <x:c r="I412" t="n">
        <x:v>4</x:v>
      </x:c>
      <x:c r="J412" s="12" t="n">
        <x:v>278.61</x:v>
      </x:c>
      <x:c r="K412" s="12" t="n">
        <x:v>154.05</x:v>
      </x:c>
      <x:c r="L412" s="14" t="n">
        <x:v>0.1</x:v>
      </x:c>
      <x:c r="M412" s="12" t="n">
        <x:f>IF(H412="Completed",I412*J412*(1-L412),0)</x:f>
        <x:v>0</x:v>
      </x:c>
      <x:c r="N412" s="12" t="n">
        <x:f>IF(H412="Completed",I412*K412,0)</x:f>
        <x:v>0</x:v>
      </x:c>
      <x:c r="O412" s="12" t="n">
        <x:f>M412-N412</x:f>
        <x:v>0</x:v>
      </x:c>
      <x:c r="P412" s="16" t="n">
        <x:f>IFERROR(O412/M412,0)</x:f>
        <x:v>0</x:v>
      </x:c>
      <x:c r="Q412" t="n">
        <x:f>YEAR(B412)</x:f>
        <x:v>2025</x:v>
      </x:c>
      <x:c r="R412" t="str">
        <x:f>TEXT(B412,"yyyy-mm")</x:f>
        <x:v>2025-02</x:v>
      </x:c>
    </x:row>
    <x:row r="413">
      <x:c r="A413" t="n">
        <x:v>10530</x:v>
      </x:c>
      <x:c r="B413" s="10" t="n">
        <x:v>45702</x:v>
      </x:c>
      <x:c r="C413" t="str">
        <x:v>P005</x:v>
      </x:c>
      <x:c r="D413" t="str">
        <x:v>Desk</x:v>
      </x:c>
      <x:c r="E413" t="str">
        <x:v>Furniture</x:v>
      </x:c>
      <x:c r="F413" t="str">
        <x:v>North</x:v>
      </x:c>
      <x:c r="G413" t="str">
        <x:v>Online</x:v>
      </x:c>
      <x:c r="H413" t="str">
        <x:v>Cancelled</x:v>
      </x:c>
      <x:c r="I413" t="n">
        <x:v>4</x:v>
      </x:c>
      <x:c r="J413" s="12" t="n">
        <x:v>271.15</x:v>
      </x:c>
      <x:c r="K413" s="12" t="n">
        <x:v>152.67</x:v>
      </x:c>
      <x:c r="L413" s="14" t="n">
        <x:v>0.15</x:v>
      </x:c>
      <x:c r="M413" s="12" t="n">
        <x:f>IF(H413="Completed",I413*J413*(1-L413),0)</x:f>
        <x:v>0</x:v>
      </x:c>
      <x:c r="N413" s="12" t="n">
        <x:f>IF(H413="Completed",I413*K413,0)</x:f>
        <x:v>0</x:v>
      </x:c>
      <x:c r="O413" s="12" t="n">
        <x:f>M413-N413</x:f>
        <x:v>0</x:v>
      </x:c>
      <x:c r="P413" s="16" t="n">
        <x:f>IFERROR(O413/M413,0)</x:f>
        <x:v>0</x:v>
      </x:c>
      <x:c r="Q413" t="n">
        <x:f>YEAR(B413)</x:f>
        <x:v>2025</x:v>
      </x:c>
      <x:c r="R413" t="str">
        <x:f>TEXT(B413,"yyyy-mm")</x:f>
        <x:v>2025-02</x:v>
      </x:c>
    </x:row>
    <x:row r="414">
      <x:c r="A414" t="n">
        <x:v>10417</x:v>
      </x:c>
      <x:c r="B414" s="10" t="n">
        <x:v>45705</x:v>
      </x:c>
      <x:c r="C414" t="str">
        <x:v>P007</x:v>
      </x:c>
      <x:c r="D414" t="str">
        <x:v>Headset</x:v>
      </x:c>
      <x:c r="E414" t="str">
        <x:v>Accessories</x:v>
      </x:c>
      <x:c r="F414" t="str">
        <x:v>Midlands</x:v>
      </x:c>
      <x:c r="G414" t="str">
        <x:v>Online</x:v>
      </x:c>
      <x:c r="H414" t="str">
        <x:v>Completed</x:v>
      </x:c>
      <x:c r="I414" t="n">
        <x:v>4</x:v>
      </x:c>
      <x:c r="J414" s="12" t="n">
        <x:v>71.72</x:v>
      </x:c>
      <x:c r="K414" s="12" t="n">
        <x:v>34.32</x:v>
      </x:c>
      <x:c r="L414" s="14" t="n">
        <x:v>0.15</x:v>
      </x:c>
      <x:c r="M414" s="12" t="n">
        <x:f>IF(H414="Completed",I414*J414*(1-L414),0)</x:f>
        <x:v>243.84799999999998</x:v>
      </x:c>
      <x:c r="N414" s="12" t="n">
        <x:f>IF(H414="Completed",I414*K414,0)</x:f>
        <x:v>137.28</x:v>
      </x:c>
      <x:c r="O414" s="12" t="n">
        <x:f>M414-N414</x:f>
        <x:v>106.56799999999998</x:v>
      </x:c>
      <x:c r="P414" s="16" t="n">
        <x:f>IFERROR(O414/M414,0)</x:f>
        <x:v>0.4370263442800433</x:v>
      </x:c>
      <x:c r="Q414" t="n">
        <x:f>YEAR(B414)</x:f>
        <x:v>2025</x:v>
      </x:c>
      <x:c r="R414" t="str">
        <x:f>TEXT(B414,"yyyy-mm")</x:f>
        <x:v>2025-02</x:v>
      </x:c>
    </x:row>
    <x:row r="415">
      <x:c r="A415" t="n">
        <x:v>10872</x:v>
      </x:c>
      <x:c r="B415" s="10" t="n">
        <x:v>45705</x:v>
      </x:c>
      <x:c r="C415" t="str">
        <x:v>P008</x:v>
      </x:c>
      <x:c r="D415" t="str">
        <x:v>Webcam</x:v>
      </x:c>
      <x:c r="E415" t="str">
        <x:v>Electronics</x:v>
      </x:c>
      <x:c r="F415" t="str">
        <x:v>Wales</x:v>
      </x:c>
      <x:c r="G415" t="str">
        <x:v>Retail</x:v>
      </x:c>
      <x:c r="H415" t="str">
        <x:v>Cancelled</x:v>
      </x:c>
      <x:c r="I415" t="n">
        <x:v>2</x:v>
      </x:c>
      <x:c r="J415" s="12" t="n">
        <x:v>89.08</x:v>
      </x:c>
      <x:c r="K415" s="12" t="n">
        <x:v>41.89</x:v>
      </x:c>
      <x:c r="L415" s="14" t="n">
        <x:v>0.15</x:v>
      </x:c>
      <x:c r="M415" s="12" t="n">
        <x:f>IF(H415="Completed",I415*J415*(1-L415),0)</x:f>
        <x:v>0</x:v>
      </x:c>
      <x:c r="N415" s="12" t="n">
        <x:f>IF(H415="Completed",I415*K415,0)</x:f>
        <x:v>0</x:v>
      </x:c>
      <x:c r="O415" s="12" t="n">
        <x:f>M415-N415</x:f>
        <x:v>0</x:v>
      </x:c>
      <x:c r="P415" s="16" t="n">
        <x:f>IFERROR(O415/M415,0)</x:f>
        <x:v>0</x:v>
      </x:c>
      <x:c r="Q415" t="n">
        <x:f>YEAR(B415)</x:f>
        <x:v>2025</x:v>
      </x:c>
      <x:c r="R415" t="str">
        <x:f>TEXT(B415,"yyyy-mm")</x:f>
        <x:v>2025-02</x:v>
      </x:c>
    </x:row>
    <x:row r="416">
      <x:c r="A416" t="n">
        <x:v>10471</x:v>
      </x:c>
      <x:c r="B416" s="10" t="n">
        <x:v>45706</x:v>
      </x:c>
      <x:c r="C416" t="str">
        <x:v>P007</x:v>
      </x:c>
      <x:c r="D416" t="str">
        <x:v>Headset</x:v>
      </x:c>
      <x:c r="E416" t="str">
        <x:v>Accessories</x:v>
      </x:c>
      <x:c r="F416" t="str">
        <x:v>North</x:v>
      </x:c>
      <x:c r="G416" t="str">
        <x:v>Retail</x:v>
      </x:c>
      <x:c r="H416" t="str">
        <x:v>Cancelled</x:v>
      </x:c>
      <x:c r="I416" t="n">
        <x:v>3</x:v>
      </x:c>
      <x:c r="J416" s="12" t="n">
        <x:v>73.07</x:v>
      </x:c>
      <x:c r="K416" s="12" t="n">
        <x:v>35.38</x:v>
      </x:c>
      <x:c r="L416" s="14" t="n">
        <x:v>0</x:v>
      </x:c>
      <x:c r="M416" s="12" t="n">
        <x:f>IF(H416="Completed",I416*J416*(1-L416),0)</x:f>
        <x:v>0</x:v>
      </x:c>
      <x:c r="N416" s="12" t="n">
        <x:f>IF(H416="Completed",I416*K416,0)</x:f>
        <x:v>0</x:v>
      </x:c>
      <x:c r="O416" s="12" t="n">
        <x:f>M416-N416</x:f>
        <x:v>0</x:v>
      </x:c>
      <x:c r="P416" s="16" t="n">
        <x:f>IFERROR(O416/M416,0)</x:f>
        <x:v>0</x:v>
      </x:c>
      <x:c r="Q416" t="n">
        <x:f>YEAR(B416)</x:f>
        <x:v>2025</x:v>
      </x:c>
      <x:c r="R416" t="str">
        <x:f>TEXT(B416,"yyyy-mm")</x:f>
        <x:v>2025-02</x:v>
      </x:c>
    </x:row>
    <x:row r="417">
      <x:c r="A417" t="n">
        <x:v>10204</x:v>
      </x:c>
      <x:c r="B417" s="10" t="n">
        <x:v>45707</x:v>
      </x:c>
      <x:c r="C417" t="str">
        <x:v>P005</x:v>
      </x:c>
      <x:c r="D417" t="str">
        <x:v>Desk</x:v>
      </x:c>
      <x:c r="E417" t="str">
        <x:v>Furniture</x:v>
      </x:c>
      <x:c r="F417" t="str">
        <x:v>North</x:v>
      </x:c>
      <x:c r="G417" t="str">
        <x:v>Online</x:v>
      </x:c>
      <x:c r="H417" t="str">
        <x:v>Completed</x:v>
      </x:c>
      <x:c r="I417" t="n">
        <x:v>4</x:v>
      </x:c>
      <x:c r="J417" s="12" t="n">
        <x:v>276.07</x:v>
      </x:c>
      <x:c r="K417" s="12" t="n">
        <x:v>153.48</x:v>
      </x:c>
      <x:c r="L417" s="14" t="n">
        <x:v>0.05</x:v>
      </x:c>
      <x:c r="M417" s="12" t="n">
        <x:f>IF(H417="Completed",I417*J417*(1-L417),0)</x:f>
        <x:v>1049.066</x:v>
      </x:c>
      <x:c r="N417" s="12" t="n">
        <x:f>IF(H417="Completed",I417*K417,0)</x:f>
        <x:v>613.92</x:v>
      </x:c>
      <x:c r="O417" s="12" t="n">
        <x:f>M417-N417</x:f>
        <x:v>435.1460000000001</x:v>
      </x:c>
      <x:c r="P417" s="16" t="n">
        <x:f>IFERROR(O417/M417,0)</x:f>
        <x:v>0.41479373080435367</x:v>
      </x:c>
      <x:c r="Q417" t="n">
        <x:f>YEAR(B417)</x:f>
        <x:v>2025</x:v>
      </x:c>
      <x:c r="R417" t="str">
        <x:f>TEXT(B417,"yyyy-mm")</x:f>
        <x:v>2025-02</x:v>
      </x:c>
    </x:row>
    <x:row r="418">
      <x:c r="A418" t="n">
        <x:v>10234</x:v>
      </x:c>
      <x:c r="B418" s="10" t="n">
        <x:v>45707</x:v>
      </x:c>
      <x:c r="C418" t="str">
        <x:v>P007</x:v>
      </x:c>
      <x:c r="D418" t="str">
        <x:v>Headset</x:v>
      </x:c>
      <x:c r="E418" t="str">
        <x:v>Accessories</x:v>
      </x:c>
      <x:c r="F418" t="str">
        <x:v>North</x:v>
      </x:c>
      <x:c r="G418" t="str">
        <x:v>Retail</x:v>
      </x:c>
      <x:c r="H418" t="str">
        <x:v>Completed</x:v>
      </x:c>
      <x:c r="I418" t="n">
        <x:v>3</x:v>
      </x:c>
      <x:c r="J418" s="12" t="n">
        <x:v>72.25</x:v>
      </x:c>
      <x:c r="K418" s="12" t="n">
        <x:v>35.94</x:v>
      </x:c>
      <x:c r="L418" s="14" t="n">
        <x:v>0</x:v>
      </x:c>
      <x:c r="M418" s="12" t="n">
        <x:f>IF(H418="Completed",I418*J418*(1-L418),0)</x:f>
        <x:v>216.75</x:v>
      </x:c>
      <x:c r="N418" s="12" t="n">
        <x:f>IF(H418="Completed",I418*K418,0)</x:f>
        <x:v>107.82</x:v>
      </x:c>
      <x:c r="O418" s="12" t="n">
        <x:f>M418-N418</x:f>
        <x:v>108.93</x:v>
      </x:c>
      <x:c r="P418" s="16" t="n">
        <x:f>IFERROR(O418/M418,0)</x:f>
        <x:v>0.502560553633218</x:v>
      </x:c>
      <x:c r="Q418" t="n">
        <x:f>YEAR(B418)</x:f>
        <x:v>2025</x:v>
      </x:c>
      <x:c r="R418" t="str">
        <x:f>TEXT(B418,"yyyy-mm")</x:f>
        <x:v>2025-02</x:v>
      </x:c>
    </x:row>
    <x:row r="419">
      <x:c r="A419" t="n">
        <x:v>10269</x:v>
      </x:c>
      <x:c r="B419" s="10" t="n">
        <x:v>45707</x:v>
      </x:c>
      <x:c r="C419" t="str">
        <x:v>P008</x:v>
      </x:c>
      <x:c r="D419" t="str">
        <x:v>Webcam</x:v>
      </x:c>
      <x:c r="E419" t="str">
        <x:v>Electronics</x:v>
      </x:c>
      <x:c r="F419" t="str">
        <x:v>Wales</x:v>
      </x:c>
      <x:c r="G419" t="str">
        <x:v>Online</x:v>
      </x:c>
      <x:c r="H419" t="str">
        <x:v>Completed</x:v>
      </x:c>
      <x:c r="I419" t="n">
        <x:v>2</x:v>
      </x:c>
      <x:c r="J419" s="12" t="n">
        <x:v>92.51</x:v>
      </x:c>
      <x:c r="K419" s="12" t="n">
        <x:v>42.52</x:v>
      </x:c>
      <x:c r="L419" s="14" t="n">
        <x:v>0.15</x:v>
      </x:c>
      <x:c r="M419" s="12" t="n">
        <x:f>IF(H419="Completed",I419*J419*(1-L419),0)</x:f>
        <x:v>157.267</x:v>
      </x:c>
      <x:c r="N419" s="12" t="n">
        <x:f>IF(H419="Completed",I419*K419,0)</x:f>
        <x:v>85.04</x:v>
      </x:c>
      <x:c r="O419" s="12" t="n">
        <x:f>M419-N419</x:f>
        <x:v>72.22699999999999</x:v>
      </x:c>
      <x:c r="P419" s="16" t="n">
        <x:f>IFERROR(O419/M419,0)</x:f>
        <x:v>0.45926354543546954</x:v>
      </x:c>
      <x:c r="Q419" t="n">
        <x:f>YEAR(B419)</x:f>
        <x:v>2025</x:v>
      </x:c>
      <x:c r="R419" t="str">
        <x:f>TEXT(B419,"yyyy-mm")</x:f>
        <x:v>2025-02</x:v>
      </x:c>
    </x:row>
    <x:row r="420">
      <x:c r="A420" t="n">
        <x:v>10397</x:v>
      </x:c>
      <x:c r="B420" s="10" t="n">
        <x:v>45708</x:v>
      </x:c>
      <x:c r="C420" t="str">
        <x:v>P008</x:v>
      </x:c>
      <x:c r="D420" t="str">
        <x:v>Webcam</x:v>
      </x:c>
      <x:c r="E420" t="str">
        <x:v>Electronics</x:v>
      </x:c>
      <x:c r="F420" t="str">
        <x:v>Scotland</x:v>
      </x:c>
      <x:c r="G420" t="str">
        <x:v>Online</x:v>
      </x:c>
      <x:c r="H420" t="str">
        <x:v>Completed</x:v>
      </x:c>
      <x:c r="I420" t="n">
        <x:v>3</x:v>
      </x:c>
      <x:c r="J420" s="12" t="n">
        <x:v>88.27</x:v>
      </x:c>
      <x:c r="K420" s="12" t="n">
        <x:v>42.22</x:v>
      </x:c>
      <x:c r="L420" s="14" t="n">
        <x:v>0</x:v>
      </x:c>
      <x:c r="M420" s="12" t="n">
        <x:f>IF(H420="Completed",I420*J420*(1-L420),0)</x:f>
        <x:v>264.81</x:v>
      </x:c>
      <x:c r="N420" s="12" t="n">
        <x:f>IF(H420="Completed",I420*K420,0)</x:f>
        <x:v>126.66</x:v>
      </x:c>
      <x:c r="O420" s="12" t="n">
        <x:f>M420-N420</x:f>
        <x:v>138.15</x:v>
      </x:c>
      <x:c r="P420" s="16" t="n">
        <x:f>IFERROR(O420/M420,0)</x:f>
        <x:v>0.5216948000453155</x:v>
      </x:c>
      <x:c r="Q420" t="n">
        <x:f>YEAR(B420)</x:f>
        <x:v>2025</x:v>
      </x:c>
      <x:c r="R420" t="str">
        <x:f>TEXT(B420,"yyyy-mm")</x:f>
        <x:v>2025-02</x:v>
      </x:c>
    </x:row>
    <x:row r="421">
      <x:c r="A421" t="n">
        <x:v>10800</x:v>
      </x:c>
      <x:c r="B421" s="10" t="n">
        <x:v>45708</x:v>
      </x:c>
      <x:c r="C421" t="str">
        <x:v>P006</x:v>
      </x:c>
      <x:c r="D421" t="str">
        <x:v>Chair</x:v>
      </x:c>
      <x:c r="E421" t="str">
        <x:v>Furniture</x:v>
      </x:c>
      <x:c r="F421" t="str">
        <x:v>Midlands</x:v>
      </x:c>
      <x:c r="G421" t="str">
        <x:v>Retail</x:v>
      </x:c>
      <x:c r="H421" t="str">
        <x:v>Completed</x:v>
      </x:c>
      <x:c r="I421" t="n">
        <x:v>1</x:v>
      </x:c>
      <x:c r="J421" s="12" t="n">
        <x:v>132.01</x:v>
      </x:c>
      <x:c r="K421" s="12" t="n">
        <x:v>69.14</x:v>
      </x:c>
      <x:c r="L421" s="14" t="n">
        <x:v>0</x:v>
      </x:c>
      <x:c r="M421" s="12" t="n">
        <x:f>IF(H421="Completed",I421*J421*(1-L421),0)</x:f>
        <x:v>132.01</x:v>
      </x:c>
      <x:c r="N421" s="12" t="n">
        <x:f>IF(H421="Completed",I421*K421,0)</x:f>
        <x:v>69.14</x:v>
      </x:c>
      <x:c r="O421" s="12" t="n">
        <x:f>M421-N421</x:f>
        <x:v>62.86999999999999</x:v>
      </x:c>
      <x:c r="P421" s="16" t="n">
        <x:f>IFERROR(O421/M421,0)</x:f>
        <x:v>0.4762517991061283</x:v>
      </x:c>
      <x:c r="Q421" t="n">
        <x:f>YEAR(B421)</x:f>
        <x:v>2025</x:v>
      </x:c>
      <x:c r="R421" t="str">
        <x:f>TEXT(B421,"yyyy-mm")</x:f>
        <x:v>2025-02</x:v>
      </x:c>
    </x:row>
    <x:row r="422">
      <x:c r="A422" t="n">
        <x:v>10899</x:v>
      </x:c>
      <x:c r="B422" s="10" t="n">
        <x:v>45708</x:v>
      </x:c>
      <x:c r="C422" t="str">
        <x:v>P002</x:v>
      </x:c>
      <x:c r="D422" t="str">
        <x:v>Monitor</x:v>
      </x:c>
      <x:c r="E422" t="str">
        <x:v>Electronics</x:v>
      </x:c>
      <x:c r="F422" t="str">
        <x:v>North</x:v>
      </x:c>
      <x:c r="G422" t="str">
        <x:v>Retail</x:v>
      </x:c>
      <x:c r="H422" t="str">
        <x:v>Completed</x:v>
      </x:c>
      <x:c r="I422" t="n">
        <x:v>4</x:v>
      </x:c>
      <x:c r="J422" s="12" t="n">
        <x:v>287.5</x:v>
      </x:c>
      <x:c r="K422" s="12" t="n">
        <x:v>171.58</x:v>
      </x:c>
      <x:c r="L422" s="14" t="n">
        <x:v>0</x:v>
      </x:c>
      <x:c r="M422" s="12" t="n">
        <x:f>IF(H422="Completed",I422*J422*(1-L422),0)</x:f>
        <x:v>1150</x:v>
      </x:c>
      <x:c r="N422" s="12" t="n">
        <x:f>IF(H422="Completed",I422*K422,0)</x:f>
        <x:v>686.32</x:v>
      </x:c>
      <x:c r="O422" s="12" t="n">
        <x:f>M422-N422</x:f>
        <x:v>463.67999999999995</x:v>
      </x:c>
      <x:c r="P422" s="16" t="n">
        <x:f>IFERROR(O422/M422,0)</x:f>
        <x:v>0.40319999999999995</x:v>
      </x:c>
      <x:c r="Q422" t="n">
        <x:f>YEAR(B422)</x:f>
        <x:v>2025</x:v>
      </x:c>
      <x:c r="R422" t="str">
        <x:f>TEXT(B422,"yyyy-mm")</x:f>
        <x:v>2025-02</x:v>
      </x:c>
    </x:row>
    <x:row r="423">
      <x:c r="A423" t="n">
        <x:v>10608</x:v>
      </x:c>
      <x:c r="B423" s="10" t="n">
        <x:v>45710</x:v>
      </x:c>
      <x:c r="C423" t="str">
        <x:v>P001</x:v>
      </x:c>
      <x:c r="D423" t="str">
        <x:v>Laptop</x:v>
      </x:c>
      <x:c r="E423" t="str">
        <x:v>Electronics</x:v>
      </x:c>
      <x:c r="F423" t="str">
        <x:v>Wales</x:v>
      </x:c>
      <x:c r="G423" t="str">
        <x:v>Online</x:v>
      </x:c>
      <x:c r="H423" t="str">
        <x:v>Completed</x:v>
      </x:c>
      <x:c r="I423" t="n">
        <x:v>3</x:v>
      </x:c>
      <x:c r="J423" s="12" t="n">
        <x:v>896.66</x:v>
      </x:c>
      <x:c r="K423" s="12" t="n">
        <x:v>636.34</x:v>
      </x:c>
      <x:c r="L423" s="14" t="n">
        <x:v>0</x:v>
      </x:c>
      <x:c r="M423" s="12" t="n">
        <x:f>IF(H423="Completed",I423*J423*(1-L423),0)</x:f>
        <x:v>2689.98</x:v>
      </x:c>
      <x:c r="N423" s="12" t="n">
        <x:f>IF(H423="Completed",I423*K423,0)</x:f>
        <x:v>1909.02</x:v>
      </x:c>
      <x:c r="O423" s="12" t="n">
        <x:f>M423-N423</x:f>
        <x:v>780.96</x:v>
      </x:c>
      <x:c r="P423" s="16" t="n">
        <x:f>IFERROR(O423/M423,0)</x:f>
        <x:v>0.29032186112907904</x:v>
      </x:c>
      <x:c r="Q423" t="n">
        <x:f>YEAR(B423)</x:f>
        <x:v>2025</x:v>
      </x:c>
      <x:c r="R423" t="str">
        <x:f>TEXT(B423,"yyyy-mm")</x:f>
        <x:v>2025-02</x:v>
      </x:c>
    </x:row>
    <x:row r="424">
      <x:c r="A424" t="n">
        <x:v>10803</x:v>
      </x:c>
      <x:c r="B424" s="10" t="n">
        <x:v>45710</x:v>
      </x:c>
      <x:c r="C424" t="str">
        <x:v>P005</x:v>
      </x:c>
      <x:c r="D424" t="str">
        <x:v>Desk</x:v>
      </x:c>
      <x:c r="E424" t="str">
        <x:v>Furniture</x:v>
      </x:c>
      <x:c r="F424" t="str">
        <x:v>South</x:v>
      </x:c>
      <x:c r="G424" t="str">
        <x:v>Online</x:v>
      </x:c>
      <x:c r="H424" t="str">
        <x:v>Completed</x:v>
      </x:c>
      <x:c r="I424" t="n">
        <x:v>1</x:v>
      </x:c>
      <x:c r="J424" s="12" t="n">
        <x:v>277.26</x:v>
      </x:c>
      <x:c r="K424" s="12" t="n">
        <x:v>155.58</x:v>
      </x:c>
      <x:c r="L424" s="14" t="n">
        <x:v>0</x:v>
      </x:c>
      <x:c r="M424" s="12" t="n">
        <x:f>IF(H424="Completed",I424*J424*(1-L424),0)</x:f>
        <x:v>277.26</x:v>
      </x:c>
      <x:c r="N424" s="12" t="n">
        <x:f>IF(H424="Completed",I424*K424,0)</x:f>
        <x:v>155.58</x:v>
      </x:c>
      <x:c r="O424" s="12" t="n">
        <x:f>M424-N424</x:f>
        <x:v>121.67999999999998</x:v>
      </x:c>
      <x:c r="P424" s="16" t="n">
        <x:f>IFERROR(O424/M424,0)</x:f>
        <x:v>0.4388660463103224</x:v>
      </x:c>
      <x:c r="Q424" t="n">
        <x:f>YEAR(B424)</x:f>
        <x:v>2025</x:v>
      </x:c>
      <x:c r="R424" t="str">
        <x:f>TEXT(B424,"yyyy-mm")</x:f>
        <x:v>2025-02</x:v>
      </x:c>
    </x:row>
    <x:row r="425">
      <x:c r="A425" t="n">
        <x:v>10427</x:v>
      </x:c>
      <x:c r="B425" s="10" t="n">
        <x:v>45711</x:v>
      </x:c>
      <x:c r="C425" t="str">
        <x:v>P005</x:v>
      </x:c>
      <x:c r="D425" t="str">
        <x:v>Desk</x:v>
      </x:c>
      <x:c r="E425" t="str">
        <x:v>Furniture</x:v>
      </x:c>
      <x:c r="F425" t="str">
        <x:v>North</x:v>
      </x:c>
      <x:c r="G425" t="str">
        <x:v>Online</x:v>
      </x:c>
      <x:c r="H425" t="str">
        <x:v>Completed</x:v>
      </x:c>
      <x:c r="I425" t="n">
        <x:v>2</x:v>
      </x:c>
      <x:c r="J425" s="12" t="n">
        <x:v>284.71</x:v>
      </x:c>
      <x:c r="K425" s="12" t="n">
        <x:v>154.46</x:v>
      </x:c>
      <x:c r="L425" s="14" t="n">
        <x:v>0.15</x:v>
      </x:c>
      <x:c r="M425" s="12" t="n">
        <x:f>IF(H425="Completed",I425*J425*(1-L425),0)</x:f>
        <x:v>484.00699999999995</x:v>
      </x:c>
      <x:c r="N425" s="12" t="n">
        <x:f>IF(H425="Completed",I425*K425,0)</x:f>
        <x:v>308.92</x:v>
      </x:c>
      <x:c r="O425" s="12" t="n">
        <x:f>M425-N425</x:f>
        <x:v>175.08699999999993</x:v>
      </x:c>
      <x:c r="P425" s="16" t="n">
        <x:f>IFERROR(O425/M425,0)</x:f>
        <x:v>0.3617447681541795</x:v>
      </x:c>
      <x:c r="Q425" t="n">
        <x:f>YEAR(B425)</x:f>
        <x:v>2025</x:v>
      </x:c>
      <x:c r="R425" t="str">
        <x:f>TEXT(B425,"yyyy-mm")</x:f>
        <x:v>2025-02</x:v>
      </x:c>
    </x:row>
    <x:row r="426">
      <x:c r="A426" t="n">
        <x:v>10104</x:v>
      </x:c>
      <x:c r="B426" s="10" t="n">
        <x:v>45712</x:v>
      </x:c>
      <x:c r="C426" t="str">
        <x:v>P001</x:v>
      </x:c>
      <x:c r="D426" t="str">
        <x:v>Laptop</x:v>
      </x:c>
      <x:c r="E426" t="str">
        <x:v>Electronics</x:v>
      </x:c>
      <x:c r="F426" t="str">
        <x:v>Scotland</x:v>
      </x:c>
      <x:c r="G426" t="str">
        <x:v>Retail</x:v>
      </x:c>
      <x:c r="H426" t="str">
        <x:v>Completed</x:v>
      </x:c>
      <x:c r="I426" t="n">
        <x:v>3</x:v>
      </x:c>
      <x:c r="J426" s="12" t="n">
        <x:v>956.05</x:v>
      </x:c>
      <x:c r="K426" s="12" t="n">
        <x:v>632.16</x:v>
      </x:c>
      <x:c r="L426" s="14" t="n">
        <x:v>0.05</x:v>
      </x:c>
      <x:c r="M426" s="12" t="n">
        <x:f>IF(H426="Completed",I426*J426*(1-L426),0)</x:f>
        <x:v>2724.7424999999994</x:v>
      </x:c>
      <x:c r="N426" s="12" t="n">
        <x:f>IF(H426="Completed",I426*K426,0)</x:f>
        <x:v>1896.48</x:v>
      </x:c>
      <x:c r="O426" s="12" t="n">
        <x:f>M426-N426</x:f>
        <x:v>828.2624999999994</x:v>
      </x:c>
      <x:c r="P426" s="16" t="n">
        <x:f>IFERROR(O426/M426,0)</x:f>
        <x:v>0.3039782658361293</x:v>
      </x:c>
      <x:c r="Q426" t="n">
        <x:f>YEAR(B426)</x:f>
        <x:v>2025</x:v>
      </x:c>
      <x:c r="R426" t="str">
        <x:f>TEXT(B426,"yyyy-mm")</x:f>
        <x:v>2025-02</x:v>
      </x:c>
    </x:row>
    <x:row r="427">
      <x:c r="A427" t="n">
        <x:v>10436</x:v>
      </x:c>
      <x:c r="B427" s="10" t="n">
        <x:v>45713</x:v>
      </x:c>
      <x:c r="C427" t="str">
        <x:v>P008</x:v>
      </x:c>
      <x:c r="D427" t="str">
        <x:v>Webcam</x:v>
      </x:c>
      <x:c r="E427" t="str">
        <x:v>Electronics</x:v>
      </x:c>
      <x:c r="F427" t="str">
        <x:v>North</x:v>
      </x:c>
      <x:c r="G427" t="str">
        <x:v>Retail</x:v>
      </x:c>
      <x:c r="H427" t="str">
        <x:v>Completed</x:v>
      </x:c>
      <x:c r="I427" t="n">
        <x:v>1</x:v>
      </x:c>
      <x:c r="J427" s="12" t="n">
        <x:v>91.74</x:v>
      </x:c>
      <x:c r="K427" s="12" t="n">
        <x:v>42.26</x:v>
      </x:c>
      <x:c r="L427" s="14" t="n">
        <x:v>0.15</x:v>
      </x:c>
      <x:c r="M427" s="12" t="n">
        <x:f>IF(H427="Completed",I427*J427*(1-L427),0)</x:f>
        <x:v>77.979</x:v>
      </x:c>
      <x:c r="N427" s="12" t="n">
        <x:f>IF(H427="Completed",I427*K427,0)</x:f>
        <x:v>42.26</x:v>
      </x:c>
      <x:c r="O427" s="12" t="n">
        <x:f>M427-N427</x:f>
        <x:v>35.719</x:v>
      </x:c>
      <x:c r="P427" s="16" t="n">
        <x:f>IFERROR(O427/M427,0)</x:f>
        <x:v>0.45805922107234</x:v>
      </x:c>
      <x:c r="Q427" t="n">
        <x:f>YEAR(B427)</x:f>
        <x:v>2025</x:v>
      </x:c>
      <x:c r="R427" t="str">
        <x:f>TEXT(B427,"yyyy-mm")</x:f>
        <x:v>2025-02</x:v>
      </x:c>
    </x:row>
    <x:row r="428">
      <x:c r="A428" t="n">
        <x:v>10227</x:v>
      </x:c>
      <x:c r="B428" s="10" t="n">
        <x:v>45715</x:v>
      </x:c>
      <x:c r="C428" t="str">
        <x:v>P006</x:v>
      </x:c>
      <x:c r="D428" t="str">
        <x:v>Chair</x:v>
      </x:c>
      <x:c r="E428" t="str">
        <x:v>Furniture</x:v>
      </x:c>
      <x:c r="F428" t="str">
        <x:v>North</x:v>
      </x:c>
      <x:c r="G428" t="str">
        <x:v>Retail</x:v>
      </x:c>
      <x:c r="H428" t="str">
        <x:v>Completed</x:v>
      </x:c>
      <x:c r="I428" t="n">
        <x:v>4</x:v>
      </x:c>
      <x:c r="J428" s="12" t="n">
        <x:v>140.19</x:v>
      </x:c>
      <x:c r="K428" s="12" t="n">
        <x:v>67.18</x:v>
      </x:c>
      <x:c r="L428" s="14" t="n">
        <x:v>0.1</x:v>
      </x:c>
      <x:c r="M428" s="12" t="n">
        <x:f>IF(H428="Completed",I428*J428*(1-L428),0)</x:f>
        <x:v>504.684</x:v>
      </x:c>
      <x:c r="N428" s="12" t="n">
        <x:f>IF(H428="Completed",I428*K428,0)</x:f>
        <x:v>268.72</x:v>
      </x:c>
      <x:c r="O428" s="12" t="n">
        <x:f>M428-N428</x:f>
        <x:v>235.964</x:v>
      </x:c>
      <x:c r="P428" s="16" t="n">
        <x:f>IFERROR(O428/M428,0)</x:f>
        <x:v>0.467548010240071</x:v>
      </x:c>
      <x:c r="Q428" t="n">
        <x:f>YEAR(B428)</x:f>
        <x:v>2025</x:v>
      </x:c>
      <x:c r="R428" t="str">
        <x:f>TEXT(B428,"yyyy-mm")</x:f>
        <x:v>2025-02</x:v>
      </x:c>
    </x:row>
    <x:row r="429">
      <x:c r="A429" t="n">
        <x:v>10386</x:v>
      </x:c>
      <x:c r="B429" s="10" t="n">
        <x:v>45715</x:v>
      </x:c>
      <x:c r="C429" t="str">
        <x:v>P004</x:v>
      </x:c>
      <x:c r="D429" t="str">
        <x:v>Mouse</x:v>
      </x:c>
      <x:c r="E429" t="str">
        <x:v>Accessories</x:v>
      </x:c>
      <x:c r="F429" t="str">
        <x:v>Scotland</x:v>
      </x:c>
      <x:c r="G429" t="str">
        <x:v>Retail</x:v>
      </x:c>
      <x:c r="H429" t="str">
        <x:v>Completed</x:v>
      </x:c>
      <x:c r="I429" t="n">
        <x:v>1</x:v>
      </x:c>
      <x:c r="J429" s="12" t="n">
        <x:v>27.49</x:v>
      </x:c>
      <x:c r="K429" s="12" t="n">
        <x:v>13.35</x:v>
      </x:c>
      <x:c r="L429" s="14" t="n">
        <x:v>0.1</x:v>
      </x:c>
      <x:c r="M429" s="12" t="n">
        <x:f>IF(H429="Completed",I429*J429*(1-L429),0)</x:f>
        <x:v>24.741</x:v>
      </x:c>
      <x:c r="N429" s="12" t="n">
        <x:f>IF(H429="Completed",I429*K429,0)</x:f>
        <x:v>13.35</x:v>
      </x:c>
      <x:c r="O429" s="12" t="n">
        <x:f>M429-N429</x:f>
        <x:v>11.391</x:v>
      </x:c>
      <x:c r="P429" s="16" t="n">
        <x:f>IFERROR(O429/M429,0)</x:f>
        <x:v>0.46040984600460777</x:v>
      </x:c>
      <x:c r="Q429" t="n">
        <x:f>YEAR(B429)</x:f>
        <x:v>2025</x:v>
      </x:c>
      <x:c r="R429" t="str">
        <x:f>TEXT(B429,"yyyy-mm")</x:f>
        <x:v>2025-02</x:v>
      </x:c>
    </x:row>
    <x:row r="430">
      <x:c r="A430" t="n">
        <x:v>10539</x:v>
      </x:c>
      <x:c r="B430" s="10" t="n">
        <x:v>45715</x:v>
      </x:c>
      <x:c r="C430" t="str">
        <x:v>P003</x:v>
      </x:c>
      <x:c r="D430" t="str">
        <x:v>Keyboard</x:v>
      </x:c>
      <x:c r="E430" t="str">
        <x:v>Accessories</x:v>
      </x:c>
      <x:c r="F430" t="str">
        <x:v>Scotland</x:v>
      </x:c>
      <x:c r="G430" t="str">
        <x:v>Online</x:v>
      </x:c>
      <x:c r="H430" t="str">
        <x:v>Completed</x:v>
      </x:c>
      <x:c r="I430" t="n">
        <x:v>2</x:v>
      </x:c>
      <x:c r="J430" s="12" t="n">
        <x:v>48.39</x:v>
      </x:c>
      <x:c r="K430" s="12" t="n">
        <x:v>26.45</x:v>
      </x:c>
      <x:c r="L430" s="14" t="n">
        <x:v>0.15</x:v>
      </x:c>
      <x:c r="M430" s="12" t="n">
        <x:f>IF(H430="Completed",I430*J430*(1-L430),0)</x:f>
        <x:v>82.263</x:v>
      </x:c>
      <x:c r="N430" s="12" t="n">
        <x:f>IF(H430="Completed",I430*K430,0)</x:f>
        <x:v>52.9</x:v>
      </x:c>
      <x:c r="O430" s="12" t="n">
        <x:f>M430-N430</x:f>
        <x:v>29.363000000000007</x:v>
      </x:c>
      <x:c r="P430" s="16" t="n">
        <x:f>IFERROR(O430/M430,0)</x:f>
        <x:v>0.3569405443516527</x:v>
      </x:c>
      <x:c r="Q430" t="n">
        <x:f>YEAR(B430)</x:f>
        <x:v>2025</x:v>
      </x:c>
      <x:c r="R430" t="str">
        <x:f>TEXT(B430,"yyyy-mm")</x:f>
        <x:v>2025-02</x:v>
      </x:c>
    </x:row>
    <x:row r="431">
      <x:c r="A431" t="n">
        <x:v>10315</x:v>
      </x:c>
      <x:c r="B431" s="10" t="n">
        <x:v>45716</x:v>
      </x:c>
      <x:c r="C431" t="str">
        <x:v>P007</x:v>
      </x:c>
      <x:c r="D431" t="str">
        <x:v>Headset</x:v>
      </x:c>
      <x:c r="E431" t="str">
        <x:v>Accessories</x:v>
      </x:c>
      <x:c r="F431" t="str">
        <x:v>North</x:v>
      </x:c>
      <x:c r="G431" t="str">
        <x:v>Retail</x:v>
      </x:c>
      <x:c r="H431" t="str">
        <x:v>Completed</x:v>
      </x:c>
      <x:c r="I431" t="n">
        <x:v>4</x:v>
      </x:c>
      <x:c r="J431" s="12" t="n">
        <x:v>72.44</x:v>
      </x:c>
      <x:c r="K431" s="12" t="n">
        <x:v>34.79</x:v>
      </x:c>
      <x:c r="L431" s="14" t="n">
        <x:v>0.05</x:v>
      </x:c>
      <x:c r="M431" s="12" t="n">
        <x:f>IF(H431="Completed",I431*J431*(1-L431),0)</x:f>
        <x:v>275.272</x:v>
      </x:c>
      <x:c r="N431" s="12" t="n">
        <x:f>IF(H431="Completed",I431*K431,0)</x:f>
        <x:v>139.16</x:v>
      </x:c>
      <x:c r="O431" s="12" t="n">
        <x:f>M431-N431</x:f>
        <x:v>136.112</x:v>
      </x:c>
      <x:c r="P431" s="16" t="n">
        <x:f>IFERROR(O431/M431,0)</x:f>
        <x:v>0.4944636577639571</x:v>
      </x:c>
      <x:c r="Q431" t="n">
        <x:f>YEAR(B431)</x:f>
        <x:v>2025</x:v>
      </x:c>
      <x:c r="R431" t="str">
        <x:f>TEXT(B431,"yyyy-mm")</x:f>
        <x:v>2025-02</x:v>
      </x:c>
    </x:row>
    <x:row r="432">
      <x:c r="A432" t="n">
        <x:v>10630</x:v>
      </x:c>
      <x:c r="B432" s="10" t="n">
        <x:v>45716</x:v>
      </x:c>
      <x:c r="C432" t="str">
        <x:v>P007</x:v>
      </x:c>
      <x:c r="D432" t="str">
        <x:v>Headset</x:v>
      </x:c>
      <x:c r="E432" t="str">
        <x:v>Accessories</x:v>
      </x:c>
      <x:c r="F432" t="str">
        <x:v>Midlands</x:v>
      </x:c>
      <x:c r="G432" t="str">
        <x:v>Retail</x:v>
      </x:c>
      <x:c r="H432" t="str">
        <x:v>Completed</x:v>
      </x:c>
      <x:c r="I432" t="n">
        <x:v>1</x:v>
      </x:c>
      <x:c r="J432" s="12" t="n">
        <x:v>73.07</x:v>
      </x:c>
      <x:c r="K432" s="12" t="n">
        <x:v>35.51</x:v>
      </x:c>
      <x:c r="L432" s="14" t="n">
        <x:v>0</x:v>
      </x:c>
      <x:c r="M432" s="12" t="n">
        <x:f>IF(H432="Completed",I432*J432*(1-L432),0)</x:f>
        <x:v>73.07</x:v>
      </x:c>
      <x:c r="N432" s="12" t="n">
        <x:f>IF(H432="Completed",I432*K432,0)</x:f>
        <x:v>35.51</x:v>
      </x:c>
      <x:c r="O432" s="12" t="n">
        <x:f>M432-N432</x:f>
        <x:v>37.559999999999995</x:v>
      </x:c>
      <x:c r="P432" s="16" t="n">
        <x:f>IFERROR(O432/M432,0)</x:f>
        <x:v>0.514027644724237</x:v>
      </x:c>
      <x:c r="Q432" t="n">
        <x:f>YEAR(B432)</x:f>
        <x:v>2025</x:v>
      </x:c>
      <x:c r="R432" t="str">
        <x:f>TEXT(B432,"yyyy-mm")</x:f>
        <x:v>2025-02</x:v>
      </x:c>
    </x:row>
    <x:row r="433">
      <x:c r="A433" t="n">
        <x:v>10118</x:v>
      </x:c>
      <x:c r="B433" s="10" t="n">
        <x:v>45717</x:v>
      </x:c>
      <x:c r="C433" t="str">
        <x:v>P003</x:v>
      </x:c>
      <x:c r="D433" t="str">
        <x:v>Keyboard</x:v>
      </x:c>
      <x:c r="E433" t="str">
        <x:v>Accessories</x:v>
      </x:c>
      <x:c r="F433" t="str">
        <x:v>North</x:v>
      </x:c>
      <x:c r="G433" t="str">
        <x:v>Online</x:v>
      </x:c>
      <x:c r="H433" t="str">
        <x:v>Completed</x:v>
      </x:c>
      <x:c r="I433" t="n">
        <x:v>2</x:v>
      </x:c>
      <x:c r="J433" s="12" t="n">
        <x:v>49.25</x:v>
      </x:c>
      <x:c r="K433" s="12" t="n">
        <x:v>25.83</x:v>
      </x:c>
      <x:c r="L433" s="14" t="n">
        <x:v>0.1</x:v>
      </x:c>
      <x:c r="M433" s="12" t="n">
        <x:f>IF(H433="Completed",I433*J433*(1-L433),0)</x:f>
        <x:v>88.65</x:v>
      </x:c>
      <x:c r="N433" s="12" t="n">
        <x:f>IF(H433="Completed",I433*K433,0)</x:f>
        <x:v>51.66</x:v>
      </x:c>
      <x:c r="O433" s="12" t="n">
        <x:f>M433-N433</x:f>
        <x:v>36.99000000000001</x:v>
      </x:c>
      <x:c r="P433" s="16" t="n">
        <x:f>IFERROR(O433/M433,0)</x:f>
        <x:v>0.41725888324873106</x:v>
      </x:c>
      <x:c r="Q433" t="n">
        <x:f>YEAR(B433)</x:f>
        <x:v>2025</x:v>
      </x:c>
      <x:c r="R433" t="str">
        <x:f>TEXT(B433,"yyyy-mm")</x:f>
        <x:v>2025-03</x:v>
      </x:c>
    </x:row>
    <x:row r="434">
      <x:c r="A434" t="n">
        <x:v>10203</x:v>
      </x:c>
      <x:c r="B434" s="10" t="n">
        <x:v>45718</x:v>
      </x:c>
      <x:c r="C434" t="str">
        <x:v>P001</x:v>
      </x:c>
      <x:c r="D434" t="str">
        <x:v>Laptop</x:v>
      </x:c>
      <x:c r="E434" t="str">
        <x:v>Electronics</x:v>
      </x:c>
      <x:c r="F434" t="str">
        <x:v>Wales</x:v>
      </x:c>
      <x:c r="G434" t="str">
        <x:v>Online</x:v>
      </x:c>
      <x:c r="H434" t="str">
        <x:v>Completed</x:v>
      </x:c>
      <x:c r="I434" t="n">
        <x:v>4</x:v>
      </x:c>
      <x:c r="J434" s="12" t="n">
        <x:v>908.17</x:v>
      </x:c>
      <x:c r="K434" s="12" t="n">
        <x:v>632.63</x:v>
      </x:c>
      <x:c r="L434" s="14" t="n">
        <x:v>0.05</x:v>
      </x:c>
      <x:c r="M434" s="12" t="n">
        <x:f>IF(H434="Completed",I434*J434*(1-L434),0)</x:f>
        <x:v>3451.046</x:v>
      </x:c>
      <x:c r="N434" s="12" t="n">
        <x:f>IF(H434="Completed",I434*K434,0)</x:f>
        <x:v>2530.52</x:v>
      </x:c>
      <x:c r="O434" s="12" t="n">
        <x:f>M434-N434</x:f>
        <x:v>920.5259999999998</x:v>
      </x:c>
      <x:c r="P434" s="16" t="n">
        <x:f>IFERROR(O434/M434,0)</x:f>
        <x:v>0.26673825848742666</x:v>
      </x:c>
      <x:c r="Q434" t="n">
        <x:f>YEAR(B434)</x:f>
        <x:v>2025</x:v>
      </x:c>
      <x:c r="R434" t="str">
        <x:f>TEXT(B434,"yyyy-mm")</x:f>
        <x:v>2025-03</x:v>
      </x:c>
    </x:row>
    <x:row r="435">
      <x:c r="A435" t="n">
        <x:v>10751</x:v>
      </x:c>
      <x:c r="B435" s="10" t="n">
        <x:v>45719</x:v>
      </x:c>
      <x:c r="C435" t="str">
        <x:v>P003</x:v>
      </x:c>
      <x:c r="D435" t="str">
        <x:v>Keyboard</x:v>
      </x:c>
      <x:c r="E435" t="str">
        <x:v>Accessories</x:v>
      </x:c>
      <x:c r="F435" t="str">
        <x:v>Wales</x:v>
      </x:c>
      <x:c r="G435" t="str">
        <x:v>Retail</x:v>
      </x:c>
      <x:c r="H435" t="str">
        <x:v>Completed</x:v>
      </x:c>
      <x:c r="I435" t="n">
        <x:v>4</x:v>
      </x:c>
      <x:c r="J435" s="12" t="n">
        <x:v>50.15</x:v>
      </x:c>
      <x:c r="K435" s="12" t="n">
        <x:v>26.12</x:v>
      </x:c>
      <x:c r="L435" s="14" t="n">
        <x:v>0</x:v>
      </x:c>
      <x:c r="M435" s="12" t="n">
        <x:f>IF(H435="Completed",I435*J435*(1-L435),0)</x:f>
        <x:v>200.6</x:v>
      </x:c>
      <x:c r="N435" s="12" t="n">
        <x:f>IF(H435="Completed",I435*K435,0)</x:f>
        <x:v>104.48</x:v>
      </x:c>
      <x:c r="O435" s="12" t="n">
        <x:f>M435-N435</x:f>
        <x:v>96.11999999999999</x:v>
      </x:c>
      <x:c r="P435" s="16" t="n">
        <x:f>IFERROR(O435/M435,0)</x:f>
        <x:v>0.47916251246261216</x:v>
      </x:c>
      <x:c r="Q435" t="n">
        <x:f>YEAR(B435)</x:f>
        <x:v>2025</x:v>
      </x:c>
      <x:c r="R435" t="str">
        <x:f>TEXT(B435,"yyyy-mm")</x:f>
        <x:v>2025-03</x:v>
      </x:c>
    </x:row>
    <x:row r="436">
      <x:c r="A436" t="n">
        <x:v>10144</x:v>
      </x:c>
      <x:c r="B436" s="10" t="n">
        <x:v>45721</x:v>
      </x:c>
      <x:c r="C436" t="str">
        <x:v>P008</x:v>
      </x:c>
      <x:c r="D436" t="str">
        <x:v>Webcam</x:v>
      </x:c>
      <x:c r="E436" t="str">
        <x:v>Electronics</x:v>
      </x:c>
      <x:c r="F436" t="str">
        <x:v>North</x:v>
      </x:c>
      <x:c r="G436" t="str">
        <x:v>Online</x:v>
      </x:c>
      <x:c r="H436" t="str">
        <x:v>Completed</x:v>
      </x:c>
      <x:c r="I436" t="n">
        <x:v>3</x:v>
      </x:c>
      <x:c r="J436" s="12" t="n">
        <x:v>90.04</x:v>
      </x:c>
      <x:c r="K436" s="12" t="n">
        <x:v>43.02</x:v>
      </x:c>
      <x:c r="L436" s="14" t="n">
        <x:v>0.1</x:v>
      </x:c>
      <x:c r="M436" s="12" t="n">
        <x:f>IF(H436="Completed",I436*J436*(1-L436),0)</x:f>
        <x:v>243.108</x:v>
      </x:c>
      <x:c r="N436" s="12" t="n">
        <x:f>IF(H436="Completed",I436*K436,0)</x:f>
        <x:v>129.06</x:v>
      </x:c>
      <x:c r="O436" s="12" t="n">
        <x:f>M436-N436</x:f>
        <x:v>114.048</x:v>
      </x:c>
      <x:c r="P436" s="16" t="n">
        <x:f>IFERROR(O436/M436,0)</x:f>
        <x:v>0.4691248334073745</x:v>
      </x:c>
      <x:c r="Q436" t="n">
        <x:f>YEAR(B436)</x:f>
        <x:v>2025</x:v>
      </x:c>
      <x:c r="R436" t="str">
        <x:f>TEXT(B436,"yyyy-mm")</x:f>
        <x:v>2025-03</x:v>
      </x:c>
    </x:row>
    <x:row r="437">
      <x:c r="A437" t="n">
        <x:v>10347</x:v>
      </x:c>
      <x:c r="B437" s="10" t="n">
        <x:v>45721</x:v>
      </x:c>
      <x:c r="C437" t="str">
        <x:v>P008</x:v>
      </x:c>
      <x:c r="D437" t="str">
        <x:v>Webcam</x:v>
      </x:c>
      <x:c r="E437" t="str">
        <x:v>Electronics</x:v>
      </x:c>
      <x:c r="F437" t="str">
        <x:v>Wales</x:v>
      </x:c>
      <x:c r="G437" t="str">
        <x:v>Online</x:v>
      </x:c>
      <x:c r="H437" t="str">
        <x:v>Completed</x:v>
      </x:c>
      <x:c r="I437" t="n">
        <x:v>1</x:v>
      </x:c>
      <x:c r="J437" s="12" t="n">
        <x:v>86.6</x:v>
      </x:c>
      <x:c r="K437" s="12" t="n">
        <x:v>41.65</x:v>
      </x:c>
      <x:c r="L437" s="14" t="n">
        <x:v>0</x:v>
      </x:c>
      <x:c r="M437" s="12" t="n">
        <x:f>IF(H437="Completed",I437*J437*(1-L437),0)</x:f>
        <x:v>86.6</x:v>
      </x:c>
      <x:c r="N437" s="12" t="n">
        <x:f>IF(H437="Completed",I437*K437,0)</x:f>
        <x:v>41.65</x:v>
      </x:c>
      <x:c r="O437" s="12" t="n">
        <x:f>M437-N437</x:f>
        <x:v>44.949999999999996</x:v>
      </x:c>
      <x:c r="P437" s="16" t="n">
        <x:f>IFERROR(O437/M437,0)</x:f>
        <x:v>0.51905311778291</x:v>
      </x:c>
      <x:c r="Q437" t="n">
        <x:f>YEAR(B437)</x:f>
        <x:v>2025</x:v>
      </x:c>
      <x:c r="R437" t="str">
        <x:f>TEXT(B437,"yyyy-mm")</x:f>
        <x:v>2025-03</x:v>
      </x:c>
    </x:row>
    <x:row r="438">
      <x:c r="A438" t="n">
        <x:v>10361</x:v>
      </x:c>
      <x:c r="B438" s="10" t="n">
        <x:v>45721</x:v>
      </x:c>
      <x:c r="C438" t="str">
        <x:v>P004</x:v>
      </x:c>
      <x:c r="D438" t="str">
        <x:v>Mouse</x:v>
      </x:c>
      <x:c r="E438" t="str">
        <x:v>Accessories</x:v>
      </x:c>
      <x:c r="F438" t="str">
        <x:v>South</x:v>
      </x:c>
      <x:c r="G438" t="str">
        <x:v>Retail</x:v>
      </x:c>
      <x:c r="H438" t="str">
        <x:v>Completed</x:v>
      </x:c>
      <x:c r="I438" t="n">
        <x:v>2</x:v>
      </x:c>
      <x:c r="J438" s="12" t="n">
        <x:v>27.67</x:v>
      </x:c>
      <x:c r="K438" s="12" t="n">
        <x:v>12.97</x:v>
      </x:c>
      <x:c r="L438" s="14" t="n">
        <x:v>0.05</x:v>
      </x:c>
      <x:c r="M438" s="12" t="n">
        <x:f>IF(H438="Completed",I438*J438*(1-L438),0)</x:f>
        <x:v>52.573</x:v>
      </x:c>
      <x:c r="N438" s="12" t="n">
        <x:f>IF(H438="Completed",I438*K438,0)</x:f>
        <x:v>25.94</x:v>
      </x:c>
      <x:c r="O438" s="12" t="n">
        <x:f>M438-N438</x:f>
        <x:v>26.633</x:v>
      </x:c>
      <x:c r="P438" s="16" t="n">
        <x:f>IFERROR(O438/M438,0)</x:f>
        <x:v>0.5065908356000228</x:v>
      </x:c>
      <x:c r="Q438" t="n">
        <x:f>YEAR(B438)</x:f>
        <x:v>2025</x:v>
      </x:c>
      <x:c r="R438" t="str">
        <x:f>TEXT(B438,"yyyy-mm")</x:f>
        <x:v>2025-03</x:v>
      </x:c>
    </x:row>
    <x:row r="439">
      <x:c r="A439" t="n">
        <x:v>10061</x:v>
      </x:c>
      <x:c r="B439" s="10" t="n">
        <x:v>45722</x:v>
      </x:c>
      <x:c r="C439" t="str">
        <x:v>P007</x:v>
      </x:c>
      <x:c r="D439" t="str">
        <x:v>Headset</x:v>
      </x:c>
      <x:c r="E439" t="str">
        <x:v>Accessories</x:v>
      </x:c>
      <x:c r="F439" t="str">
        <x:v>Scotland</x:v>
      </x:c>
      <x:c r="G439" t="str">
        <x:v>Retail</x:v>
      </x:c>
      <x:c r="H439" t="str">
        <x:v>Completed</x:v>
      </x:c>
      <x:c r="I439" t="n">
        <x:v>1</x:v>
      </x:c>
      <x:c r="J439" s="12" t="n">
        <x:v>69.87</x:v>
      </x:c>
      <x:c r="K439" s="12" t="n">
        <x:v>34.92</x:v>
      </x:c>
      <x:c r="L439" s="14" t="n">
        <x:v>0.05</x:v>
      </x:c>
      <x:c r="M439" s="12" t="n">
        <x:f>IF(H439="Completed",I439*J439*(1-L439),0)</x:f>
        <x:v>66.37650000000001</x:v>
      </x:c>
      <x:c r="N439" s="12" t="n">
        <x:f>IF(H439="Completed",I439*K439,0)</x:f>
        <x:v>34.92</x:v>
      </x:c>
      <x:c r="O439" s="12" t="n">
        <x:f>M439-N439</x:f>
        <x:v>31.456500000000005</x:v>
      </x:c>
      <x:c r="P439" s="16" t="n">
        <x:f>IFERROR(O439/M439,0)</x:f>
        <x:v>0.4739101941199069</x:v>
      </x:c>
      <x:c r="Q439" t="n">
        <x:f>YEAR(B439)</x:f>
        <x:v>2025</x:v>
      </x:c>
      <x:c r="R439" t="str">
        <x:f>TEXT(B439,"yyyy-mm")</x:f>
        <x:v>2025-03</x:v>
      </x:c>
    </x:row>
    <x:row r="440">
      <x:c r="A440" t="n">
        <x:v>10023</x:v>
      </x:c>
      <x:c r="B440" s="10" t="n">
        <x:v>45725</x:v>
      </x:c>
      <x:c r="C440" t="str">
        <x:v>P007</x:v>
      </x:c>
      <x:c r="D440" t="str">
        <x:v>Headset</x:v>
      </x:c>
      <x:c r="E440" t="str">
        <x:v>Accessories</x:v>
      </x:c>
      <x:c r="F440" t="str">
        <x:v>Scotland</x:v>
      </x:c>
      <x:c r="G440" t="str">
        <x:v>Online</x:v>
      </x:c>
      <x:c r="H440" t="str">
        <x:v>Completed</x:v>
      </x:c>
      <x:c r="I440" t="n">
        <x:v>4</x:v>
      </x:c>
      <x:c r="J440" s="12" t="n">
        <x:v>71.87</x:v>
      </x:c>
      <x:c r="K440" s="12" t="n">
        <x:v>34.89</x:v>
      </x:c>
      <x:c r="L440" s="14" t="n">
        <x:v>0</x:v>
      </x:c>
      <x:c r="M440" s="12" t="n">
        <x:f>IF(H440="Completed",I440*J440*(1-L440),0)</x:f>
        <x:v>287.48</x:v>
      </x:c>
      <x:c r="N440" s="12" t="n">
        <x:f>IF(H440="Completed",I440*K440,0)</x:f>
        <x:v>139.56</x:v>
      </x:c>
      <x:c r="O440" s="12" t="n">
        <x:f>M440-N440</x:f>
        <x:v>147.92000000000002</x:v>
      </x:c>
      <x:c r="P440" s="16" t="n">
        <x:f>IFERROR(O440/M440,0)</x:f>
        <x:v>0.5145401419229164</x:v>
      </x:c>
      <x:c r="Q440" t="n">
        <x:f>YEAR(B440)</x:f>
        <x:v>2025</x:v>
      </x:c>
      <x:c r="R440" t="str">
        <x:f>TEXT(B440,"yyyy-mm")</x:f>
        <x:v>2025-03</x:v>
      </x:c>
    </x:row>
    <x:row r="441">
      <x:c r="A441" t="n">
        <x:v>10389</x:v>
      </x:c>
      <x:c r="B441" s="10" t="n">
        <x:v>45725</x:v>
      </x:c>
      <x:c r="C441" t="str">
        <x:v>P002</x:v>
      </x:c>
      <x:c r="D441" t="str">
        <x:v>Monitor</x:v>
      </x:c>
      <x:c r="E441" t="str">
        <x:v>Electronics</x:v>
      </x:c>
      <x:c r="F441" t="str">
        <x:v>North</x:v>
      </x:c>
      <x:c r="G441" t="str">
        <x:v>Retail</x:v>
      </x:c>
      <x:c r="H441" t="str">
        <x:v>Completed</x:v>
      </x:c>
      <x:c r="I441" t="n">
        <x:v>4</x:v>
      </x:c>
      <x:c r="J441" s="12" t="n">
        <x:v>281.59</x:v>
      </x:c>
      <x:c r="K441" s="12" t="n">
        <x:v>174.34</x:v>
      </x:c>
      <x:c r="L441" s="14" t="n">
        <x:v>0.1</x:v>
      </x:c>
      <x:c r="M441" s="12" t="n">
        <x:f>IF(H441="Completed",I441*J441*(1-L441),0)</x:f>
        <x:v>1013.7239999999999</x:v>
      </x:c>
      <x:c r="N441" s="12" t="n">
        <x:f>IF(H441="Completed",I441*K441,0)</x:f>
        <x:v>697.36</x:v>
      </x:c>
      <x:c r="O441" s="12" t="n">
        <x:f>M441-N441</x:f>
        <x:v>316.3639999999999</x:v>
      </x:c>
      <x:c r="P441" s="16" t="n">
        <x:f>IFERROR(O441/M441,0)</x:f>
        <x:v>0.31208100035118036</x:v>
      </x:c>
      <x:c r="Q441" t="n">
        <x:f>YEAR(B441)</x:f>
        <x:v>2025</x:v>
      </x:c>
      <x:c r="R441" t="str">
        <x:f>TEXT(B441,"yyyy-mm")</x:f>
        <x:v>2025-03</x:v>
      </x:c>
    </x:row>
    <x:row r="442">
      <x:c r="A442" t="n">
        <x:v>10404</x:v>
      </x:c>
      <x:c r="B442" s="10" t="n">
        <x:v>45725</x:v>
      </x:c>
      <x:c r="C442" t="str">
        <x:v>P007</x:v>
      </x:c>
      <x:c r="D442" t="str">
        <x:v>Headset</x:v>
      </x:c>
      <x:c r="E442" t="str">
        <x:v>Accessories</x:v>
      </x:c>
      <x:c r="F442" t="str">
        <x:v>Midlands</x:v>
      </x:c>
      <x:c r="G442" t="str">
        <x:v>Online</x:v>
      </x:c>
      <x:c r="H442" t="str">
        <x:v>Completed</x:v>
      </x:c>
      <x:c r="I442" t="n">
        <x:v>3</x:v>
      </x:c>
      <x:c r="J442" s="12" t="n">
        <x:v>72.46</x:v>
      </x:c>
      <x:c r="K442" s="12" t="n">
        <x:v>35.39</x:v>
      </x:c>
      <x:c r="L442" s="14" t="n">
        <x:v>0.15</x:v>
      </x:c>
      <x:c r="M442" s="12" t="n">
        <x:f>IF(H442="Completed",I442*J442*(1-L442),0)</x:f>
        <x:v>184.773</x:v>
      </x:c>
      <x:c r="N442" s="12" t="n">
        <x:f>IF(H442="Completed",I442*K442,0)</x:f>
        <x:v>106.17</x:v>
      </x:c>
      <x:c r="O442" s="12" t="n">
        <x:f>M442-N442</x:f>
        <x:v>78.603</x:v>
      </x:c>
      <x:c r="P442" s="16" t="n">
        <x:f>IFERROR(O442/M442,0)</x:f>
        <x:v>0.4254030621357016</x:v>
      </x:c>
      <x:c r="Q442" t="n">
        <x:f>YEAR(B442)</x:f>
        <x:v>2025</x:v>
      </x:c>
      <x:c r="R442" t="str">
        <x:f>TEXT(B442,"yyyy-mm")</x:f>
        <x:v>2025-03</x:v>
      </x:c>
    </x:row>
    <x:row r="443">
      <x:c r="A443" t="n">
        <x:v>10821</x:v>
      </x:c>
      <x:c r="B443" s="10" t="n">
        <x:v>45725</x:v>
      </x:c>
      <x:c r="C443" t="str">
        <x:v>P005</x:v>
      </x:c>
      <x:c r="D443" t="str">
        <x:v>Desk</x:v>
      </x:c>
      <x:c r="E443" t="str">
        <x:v>Furniture</x:v>
      </x:c>
      <x:c r="F443" t="str">
        <x:v>North</x:v>
      </x:c>
      <x:c r="G443" t="str">
        <x:v>Online</x:v>
      </x:c>
      <x:c r="H443" t="str">
        <x:v>Completed</x:v>
      </x:c>
      <x:c r="I443" t="n">
        <x:v>1</x:v>
      </x:c>
      <x:c r="J443" s="12" t="n">
        <x:v>275.82</x:v>
      </x:c>
      <x:c r="K443" s="12" t="n">
        <x:v>154.65</x:v>
      </x:c>
      <x:c r="L443" s="14" t="n">
        <x:v>0</x:v>
      </x:c>
      <x:c r="M443" s="12" t="n">
        <x:f>IF(H443="Completed",I443*J443*(1-L443),0)</x:f>
        <x:v>275.82</x:v>
      </x:c>
      <x:c r="N443" s="12" t="n">
        <x:f>IF(H443="Completed",I443*K443,0)</x:f>
        <x:v>154.65</x:v>
      </x:c>
      <x:c r="O443" s="12" t="n">
        <x:f>M443-N443</x:f>
        <x:v>121.16999999999999</x:v>
      </x:c>
      <x:c r="P443" s="16" t="n">
        <x:f>IFERROR(O443/M443,0)</x:f>
        <x:v>0.43930824450728734</x:v>
      </x:c>
      <x:c r="Q443" t="n">
        <x:f>YEAR(B443)</x:f>
        <x:v>2025</x:v>
      </x:c>
      <x:c r="R443" t="str">
        <x:f>TEXT(B443,"yyyy-mm")</x:f>
        <x:v>2025-03</x:v>
      </x:c>
    </x:row>
    <x:row r="444">
      <x:c r="A444" t="n">
        <x:v>10839</x:v>
      </x:c>
      <x:c r="B444" s="10" t="n">
        <x:v>45728</x:v>
      </x:c>
      <x:c r="C444" t="str">
        <x:v>P002</x:v>
      </x:c>
      <x:c r="D444" t="str">
        <x:v>Monitor</x:v>
      </x:c>
      <x:c r="E444" t="str">
        <x:v>Electronics</x:v>
      </x:c>
      <x:c r="F444" t="str">
        <x:v>South</x:v>
      </x:c>
      <x:c r="G444" t="str">
        <x:v>Partner</x:v>
      </x:c>
      <x:c r="H444" t="str">
        <x:v>Completed</x:v>
      </x:c>
      <x:c r="I444" t="n">
        <x:v>1</x:v>
      </x:c>
      <x:c r="J444" s="12" t="n">
        <x:v>290.14</x:v>
      </x:c>
      <x:c r="K444" s="12" t="n">
        <x:v>167.92</x:v>
      </x:c>
      <x:c r="L444" s="14" t="n">
        <x:v>0.15</x:v>
      </x:c>
      <x:c r="M444" s="12" t="n">
        <x:f>IF(H444="Completed",I444*J444*(1-L444),0)</x:f>
        <x:v>246.61899999999997</x:v>
      </x:c>
      <x:c r="N444" s="12" t="n">
        <x:f>IF(H444="Completed",I444*K444,0)</x:f>
        <x:v>167.92</x:v>
      </x:c>
      <x:c r="O444" s="12" t="n">
        <x:f>M444-N444</x:f>
        <x:v>78.69899999999998</x:v>
      </x:c>
      <x:c r="P444" s="16" t="n">
        <x:f>IFERROR(O444/M444,0)</x:f>
        <x:v>0.31911166617332803</x:v>
      </x:c>
      <x:c r="Q444" t="n">
        <x:f>YEAR(B444)</x:f>
        <x:v>2025</x:v>
      </x:c>
      <x:c r="R444" t="str">
        <x:f>TEXT(B444,"yyyy-mm")</x:f>
        <x:v>2025-03</x:v>
      </x:c>
    </x:row>
    <x:row r="445">
      <x:c r="A445" t="n">
        <x:v>10771</x:v>
      </x:c>
      <x:c r="B445" s="10" t="n">
        <x:v>45730</x:v>
      </x:c>
      <x:c r="C445" t="str">
        <x:v>P004</x:v>
      </x:c>
      <x:c r="D445" t="str">
        <x:v>Mouse</x:v>
      </x:c>
      <x:c r="E445" t="str">
        <x:v>Accessories</x:v>
      </x:c>
      <x:c r="F445" t="str">
        <x:v>Wales</x:v>
      </x:c>
      <x:c r="G445" t="str">
        <x:v>Retail</x:v>
      </x:c>
      <x:c r="H445" t="str">
        <x:v>Completed</x:v>
      </x:c>
      <x:c r="I445" t="n">
        <x:v>1</x:v>
      </x:c>
      <x:c r="J445" s="12" t="n">
        <x:v>26.21</x:v>
      </x:c>
      <x:c r="K445" s="12" t="n">
        <x:v>13.18</x:v>
      </x:c>
      <x:c r="L445" s="14" t="n">
        <x:v>0</x:v>
      </x:c>
      <x:c r="M445" s="12" t="n">
        <x:f>IF(H445="Completed",I445*J445*(1-L445),0)</x:f>
        <x:v>26.21</x:v>
      </x:c>
      <x:c r="N445" s="12" t="n">
        <x:f>IF(H445="Completed",I445*K445,0)</x:f>
        <x:v>13.18</x:v>
      </x:c>
      <x:c r="O445" s="12" t="n">
        <x:f>M445-N445</x:f>
        <x:v>13.030000000000001</x:v>
      </x:c>
      <x:c r="P445" s="16" t="n">
        <x:f>IFERROR(O445/M445,0)</x:f>
        <x:v>0.49713849675696303</x:v>
      </x:c>
      <x:c r="Q445" t="n">
        <x:f>YEAR(B445)</x:f>
        <x:v>2025</x:v>
      </x:c>
      <x:c r="R445" t="str">
        <x:f>TEXT(B445,"yyyy-mm")</x:f>
        <x:v>2025-03</x:v>
      </x:c>
    </x:row>
    <x:row r="446">
      <x:c r="A446" t="n">
        <x:v>10925</x:v>
      </x:c>
      <x:c r="B446" s="10" t="n">
        <x:v>45730</x:v>
      </x:c>
      <x:c r="C446" t="str">
        <x:v>P002</x:v>
      </x:c>
      <x:c r="D446" t="str">
        <x:v>Monitor</x:v>
      </x:c>
      <x:c r="E446" t="str">
        <x:v>Electronics</x:v>
      </x:c>
      <x:c r="F446" t="str">
        <x:v>South</x:v>
      </x:c>
      <x:c r="G446" t="str">
        <x:v>Retail</x:v>
      </x:c>
      <x:c r="H446" t="str">
        <x:v>Completed</x:v>
      </x:c>
      <x:c r="I446" t="n">
        <x:v>3</x:v>
      </x:c>
      <x:c r="J446" s="12" t="n">
        <x:v>286.77</x:v>
      </x:c>
      <x:c r="K446" s="12" t="n">
        <x:v>171.6</x:v>
      </x:c>
      <x:c r="L446" s="14" t="n">
        <x:v>0.05</x:v>
      </x:c>
      <x:c r="M446" s="12" t="n">
        <x:f>IF(H446="Completed",I446*J446*(1-L446),0)</x:f>
        <x:v>817.2944999999999</x:v>
      </x:c>
      <x:c r="N446" s="12" t="n">
        <x:f>IF(H446="Completed",I446*K446,0)</x:f>
        <x:v>514.8</x:v>
      </x:c>
      <x:c r="O446" s="12" t="n">
        <x:f>M446-N446</x:f>
        <x:v>302.4944999999999</x:v>
      </x:c>
      <x:c r="P446" s="16" t="n">
        <x:f>IFERROR(O446/M446,0)</x:f>
        <x:v>0.37011689176912355</x:v>
      </x:c>
      <x:c r="Q446" t="n">
        <x:f>YEAR(B446)</x:f>
        <x:v>2025</x:v>
      </x:c>
      <x:c r="R446" t="str">
        <x:f>TEXT(B446,"yyyy-mm")</x:f>
        <x:v>2025-03</x:v>
      </x:c>
    </x:row>
    <x:row r="447">
      <x:c r="A447" t="n">
        <x:v>10818</x:v>
      </x:c>
      <x:c r="B447" s="10" t="n">
        <x:v>45733</x:v>
      </x:c>
      <x:c r="C447" t="str">
        <x:v>P004</x:v>
      </x:c>
      <x:c r="D447" t="str">
        <x:v>Mouse</x:v>
      </x:c>
      <x:c r="E447" t="str">
        <x:v>Accessories</x:v>
      </x:c>
      <x:c r="F447" t="str">
        <x:v>Wales</x:v>
      </x:c>
      <x:c r="G447" t="str">
        <x:v>Online</x:v>
      </x:c>
      <x:c r="H447" t="str">
        <x:v>Completed</x:v>
      </x:c>
      <x:c r="I447" t="n">
        <x:v>2</x:v>
      </x:c>
      <x:c r="J447" s="12" t="n">
        <x:v>26.53</x:v>
      </x:c>
      <x:c r="K447" s="12" t="n">
        <x:v>13.26</x:v>
      </x:c>
      <x:c r="L447" s="14" t="n">
        <x:v>0.05</x:v>
      </x:c>
      <x:c r="M447" s="12" t="n">
        <x:f>IF(H447="Completed",I447*J447*(1-L447),0)</x:f>
        <x:v>50.407</x:v>
      </x:c>
      <x:c r="N447" s="12" t="n">
        <x:f>IF(H447="Completed",I447*K447,0)</x:f>
        <x:v>26.52</x:v>
      </x:c>
      <x:c r="O447" s="12" t="n">
        <x:f>M447-N447</x:f>
        <x:v>23.886999999999997</x:v>
      </x:c>
      <x:c r="P447" s="16" t="n">
        <x:f>IFERROR(O447/M447,0)</x:f>
        <x:v>0.4738825956712361</x:v>
      </x:c>
      <x:c r="Q447" t="n">
        <x:f>YEAR(B447)</x:f>
        <x:v>2025</x:v>
      </x:c>
      <x:c r="R447" t="str">
        <x:f>TEXT(B447,"yyyy-mm")</x:f>
        <x:v>2025-03</x:v>
      </x:c>
    </x:row>
    <x:row r="448">
      <x:c r="A448" t="n">
        <x:v>10188</x:v>
      </x:c>
      <x:c r="B448" s="10" t="n">
        <x:v>45737</x:v>
      </x:c>
      <x:c r="C448" t="str">
        <x:v>P005</x:v>
      </x:c>
      <x:c r="D448" t="str">
        <x:v>Desk</x:v>
      </x:c>
      <x:c r="E448" t="str">
        <x:v>Furniture</x:v>
      </x:c>
      <x:c r="F448" t="str">
        <x:v>North</x:v>
      </x:c>
      <x:c r="G448" t="str">
        <x:v>Retail</x:v>
      </x:c>
      <x:c r="H448" t="str">
        <x:v>Completed</x:v>
      </x:c>
      <x:c r="I448" t="n">
        <x:v>1</x:v>
      </x:c>
      <x:c r="J448" s="12" t="n">
        <x:v>282.17</x:v>
      </x:c>
      <x:c r="K448" s="12" t="n">
        <x:v>157.17</x:v>
      </x:c>
      <x:c r="L448" s="14" t="n">
        <x:v>0.1</x:v>
      </x:c>
      <x:c r="M448" s="12" t="n">
        <x:f>IF(H448="Completed",I448*J448*(1-L448),0)</x:f>
        <x:v>253.95300000000003</x:v>
      </x:c>
      <x:c r="N448" s="12" t="n">
        <x:f>IF(H448="Completed",I448*K448,0)</x:f>
        <x:v>157.17</x:v>
      </x:c>
      <x:c r="O448" s="12" t="n">
        <x:f>M448-N448</x:f>
        <x:v>96.78300000000004</x:v>
      </x:c>
      <x:c r="P448" s="16" t="n">
        <x:f>IFERROR(O448/M448,0)</x:f>
        <x:v>0.3811059526762827</x:v>
      </x:c>
      <x:c r="Q448" t="n">
        <x:f>YEAR(B448)</x:f>
        <x:v>2025</x:v>
      </x:c>
      <x:c r="R448" t="str">
        <x:f>TEXT(B448,"yyyy-mm")</x:f>
        <x:v>2025-03</x:v>
      </x:c>
    </x:row>
    <x:row r="449">
      <x:c r="A449" t="n">
        <x:v>10708</x:v>
      </x:c>
      <x:c r="B449" s="10" t="n">
        <x:v>45737</x:v>
      </x:c>
      <x:c r="C449" t="str">
        <x:v>P005</x:v>
      </x:c>
      <x:c r="D449" t="str">
        <x:v>Desk</x:v>
      </x:c>
      <x:c r="E449" t="str">
        <x:v>Furniture</x:v>
      </x:c>
      <x:c r="F449" t="str">
        <x:v>South</x:v>
      </x:c>
      <x:c r="G449" t="str">
        <x:v>Partner</x:v>
      </x:c>
      <x:c r="H449" t="str">
        <x:v>Completed</x:v>
      </x:c>
      <x:c r="I449" t="n">
        <x:v>3</x:v>
      </x:c>
      <x:c r="J449" s="12" t="n">
        <x:v>268.76</x:v>
      </x:c>
      <x:c r="K449" s="12" t="n">
        <x:v>152.31</x:v>
      </x:c>
      <x:c r="L449" s="14" t="n">
        <x:v>0</x:v>
      </x:c>
      <x:c r="M449" s="12" t="n">
        <x:f>IF(H449="Completed",I449*J449*(1-L449),0)</x:f>
        <x:v>806.28</x:v>
      </x:c>
      <x:c r="N449" s="12" t="n">
        <x:f>IF(H449="Completed",I449*K449,0)</x:f>
        <x:v>456.93</x:v>
      </x:c>
      <x:c r="O449" s="12" t="n">
        <x:f>M449-N449</x:f>
        <x:v>349.34999999999997</x:v>
      </x:c>
      <x:c r="P449" s="16" t="n">
        <x:f>IFERROR(O449/M449,0)</x:f>
        <x:v>0.4332862033040631</x:v>
      </x:c>
      <x:c r="Q449" t="n">
        <x:f>YEAR(B449)</x:f>
        <x:v>2025</x:v>
      </x:c>
      <x:c r="R449" t="str">
        <x:f>TEXT(B449,"yyyy-mm")</x:f>
        <x:v>2025-03</x:v>
      </x:c>
    </x:row>
    <x:row r="450">
      <x:c r="A450" t="n">
        <x:v>10789</x:v>
      </x:c>
      <x:c r="B450" s="10" t="n">
        <x:v>45738</x:v>
      </x:c>
      <x:c r="C450" t="str">
        <x:v>P004</x:v>
      </x:c>
      <x:c r="D450" t="str">
        <x:v>Mouse</x:v>
      </x:c>
      <x:c r="E450" t="str">
        <x:v>Accessories</x:v>
      </x:c>
      <x:c r="F450" t="str">
        <x:v>South</x:v>
      </x:c>
      <x:c r="G450" t="str">
        <x:v>Partner</x:v>
      </x:c>
      <x:c r="H450" t="str">
        <x:v>Completed</x:v>
      </x:c>
      <x:c r="I450" t="n">
        <x:v>4</x:v>
      </x:c>
      <x:c r="J450" s="12" t="n">
        <x:v>26.59</x:v>
      </x:c>
      <x:c r="K450" s="12" t="n">
        <x:v>12.91</x:v>
      </x:c>
      <x:c r="L450" s="14" t="n">
        <x:v>0.1</x:v>
      </x:c>
      <x:c r="M450" s="12" t="n">
        <x:f>IF(H450="Completed",I450*J450*(1-L450),0)</x:f>
        <x:v>95.724</x:v>
      </x:c>
      <x:c r="N450" s="12" t="n">
        <x:f>IF(H450="Completed",I450*K450,0)</x:f>
        <x:v>51.64</x:v>
      </x:c>
      <x:c r="O450" s="12" t="n">
        <x:f>M450-N450</x:f>
        <x:v>44.084</x:v>
      </x:c>
      <x:c r="P450" s="16" t="n">
        <x:f>IFERROR(O450/M450,0)</x:f>
        <x:v>0.4605323638794869</x:v>
      </x:c>
      <x:c r="Q450" t="n">
        <x:f>YEAR(B450)</x:f>
        <x:v>2025</x:v>
      </x:c>
      <x:c r="R450" t="str">
        <x:f>TEXT(B450,"yyyy-mm")</x:f>
        <x:v>2025-03</x:v>
      </x:c>
    </x:row>
    <x:row r="451">
      <x:c r="A451" t="n">
        <x:v>10609</x:v>
      </x:c>
      <x:c r="B451" s="10" t="n">
        <x:v>45741</x:v>
      </x:c>
      <x:c r="C451" t="str">
        <x:v>P008</x:v>
      </x:c>
      <x:c r="D451" t="str">
        <x:v>Webcam</x:v>
      </x:c>
      <x:c r="E451" t="str">
        <x:v>Electronics</x:v>
      </x:c>
      <x:c r="F451" t="str">
        <x:v>Scotland</x:v>
      </x:c>
      <x:c r="G451" t="str">
        <x:v>Partner</x:v>
      </x:c>
      <x:c r="H451" t="str">
        <x:v>Completed</x:v>
      </x:c>
      <x:c r="I451" t="n">
        <x:v>3</x:v>
      </x:c>
      <x:c r="J451" s="12" t="n">
        <x:v>91.17</x:v>
      </x:c>
      <x:c r="K451" s="12" t="n">
        <x:v>42.44</x:v>
      </x:c>
      <x:c r="L451" s="14" t="n">
        <x:v>0.05</x:v>
      </x:c>
      <x:c r="M451" s="12" t="n">
        <x:f>IF(H451="Completed",I451*J451*(1-L451),0)</x:f>
        <x:v>259.8345</x:v>
      </x:c>
      <x:c r="N451" s="12" t="n">
        <x:f>IF(H451="Completed",I451*K451,0)</x:f>
        <x:v>127.32</x:v>
      </x:c>
      <x:c r="O451" s="12" t="n">
        <x:f>M451-N451</x:f>
        <x:v>132.5145</x:v>
      </x:c>
      <x:c r="P451" s="16" t="n">
        <x:f>IFERROR(O451/M451,0)</x:f>
        <x:v>0.5099957857790247</x:v>
      </x:c>
      <x:c r="Q451" t="n">
        <x:f>YEAR(B451)</x:f>
        <x:v>2025</x:v>
      </x:c>
      <x:c r="R451" t="str">
        <x:f>TEXT(B451,"yyyy-mm")</x:f>
        <x:v>2025-03</x:v>
      </x:c>
    </x:row>
    <x:row r="452">
      <x:c r="A452" t="n">
        <x:v>10059</x:v>
      </x:c>
      <x:c r="B452" s="10" t="n">
        <x:v>45742</x:v>
      </x:c>
      <x:c r="C452" t="str">
        <x:v>P002</x:v>
      </x:c>
      <x:c r="D452" t="str">
        <x:v>Monitor</x:v>
      </x:c>
      <x:c r="E452" t="str">
        <x:v>Electronics</x:v>
      </x:c>
      <x:c r="F452" t="str">
        <x:v>North</x:v>
      </x:c>
      <x:c r="G452" t="str">
        <x:v>Online</x:v>
      </x:c>
      <x:c r="H452" t="str">
        <x:v>Cancelled</x:v>
      </x:c>
      <x:c r="I452" t="n">
        <x:v>3</x:v>
      </x:c>
      <x:c r="J452" s="12" t="n">
        <x:v>279.21</x:v>
      </x:c>
      <x:c r="K452" s="12" t="n">
        <x:v>168.57</x:v>
      </x:c>
      <x:c r="L452" s="14" t="n">
        <x:v>0</x:v>
      </x:c>
      <x:c r="M452" s="12" t="n">
        <x:f>IF(H452="Completed",I452*J452*(1-L452),0)</x:f>
        <x:v>0</x:v>
      </x:c>
      <x:c r="N452" s="12" t="n">
        <x:f>IF(H452="Completed",I452*K452,0)</x:f>
        <x:v>0</x:v>
      </x:c>
      <x:c r="O452" s="12" t="n">
        <x:f>M452-N452</x:f>
        <x:v>0</x:v>
      </x:c>
      <x:c r="P452" s="16" t="n">
        <x:f>IFERROR(O452/M452,0)</x:f>
        <x:v>0</x:v>
      </x:c>
      <x:c r="Q452" t="n">
        <x:f>YEAR(B452)</x:f>
        <x:v>2025</x:v>
      </x:c>
      <x:c r="R452" t="str">
        <x:f>TEXT(B452,"yyyy-mm")</x:f>
        <x:v>2025-03</x:v>
      </x:c>
    </x:row>
    <x:row r="453">
      <x:c r="A453" t="n">
        <x:v>10106</x:v>
      </x:c>
      <x:c r="B453" s="10" t="n">
        <x:v>45742</x:v>
      </x:c>
      <x:c r="C453" t="str">
        <x:v>P002</x:v>
      </x:c>
      <x:c r="D453" t="str">
        <x:v>Monitor</x:v>
      </x:c>
      <x:c r="E453" t="str">
        <x:v>Electronics</x:v>
      </x:c>
      <x:c r="F453" t="str">
        <x:v>North</x:v>
      </x:c>
      <x:c r="G453" t="str">
        <x:v>Online</x:v>
      </x:c>
      <x:c r="H453" t="str">
        <x:v>Completed</x:v>
      </x:c>
      <x:c r="I453" t="n">
        <x:v>4</x:v>
      </x:c>
      <x:c r="J453" s="12" t="n">
        <x:v>285.82</x:v>
      </x:c>
      <x:c r="K453" s="12" t="n">
        <x:v>174.84</x:v>
      </x:c>
      <x:c r="L453" s="14" t="n">
        <x:v>0</x:v>
      </x:c>
      <x:c r="M453" s="12" t="n">
        <x:f>IF(H453="Completed",I453*J453*(1-L453),0)</x:f>
        <x:v>1143.28</x:v>
      </x:c>
      <x:c r="N453" s="12" t="n">
        <x:f>IF(H453="Completed",I453*K453,0)</x:f>
        <x:v>699.36</x:v>
      </x:c>
      <x:c r="O453" s="12" t="n">
        <x:f>M453-N453</x:f>
        <x:v>443.91999999999996</x:v>
      </x:c>
      <x:c r="P453" s="16" t="n">
        <x:f>IFERROR(O453/M453,0)</x:f>
        <x:v>0.3882863340563991</x:v>
      </x:c>
      <x:c r="Q453" t="n">
        <x:f>YEAR(B453)</x:f>
        <x:v>2025</x:v>
      </x:c>
      <x:c r="R453" t="str">
        <x:f>TEXT(B453,"yyyy-mm")</x:f>
        <x:v>2025-03</x:v>
      </x:c>
    </x:row>
    <x:row r="454">
      <x:c r="A454" t="n">
        <x:v>10083</x:v>
      </x:c>
      <x:c r="B454" s="10" t="n">
        <x:v>45743</x:v>
      </x:c>
      <x:c r="C454" t="str">
        <x:v>P006</x:v>
      </x:c>
      <x:c r="D454" t="str">
        <x:v>Chair</x:v>
      </x:c>
      <x:c r="E454" t="str">
        <x:v>Furniture</x:v>
      </x:c>
      <x:c r="F454" t="str">
        <x:v>Wales</x:v>
      </x:c>
      <x:c r="G454" t="str">
        <x:v>Online</x:v>
      </x:c>
      <x:c r="H454" t="str">
        <x:v>Completed</x:v>
      </x:c>
      <x:c r="I454" t="n">
        <x:v>2</x:v>
      </x:c>
      <x:c r="J454" s="12" t="n">
        <x:v>138.72</x:v>
      </x:c>
      <x:c r="K454" s="12" t="n">
        <x:v>68</x:v>
      </x:c>
      <x:c r="L454" s="14" t="n">
        <x:v>0</x:v>
      </x:c>
      <x:c r="M454" s="12" t="n">
        <x:f>IF(H454="Completed",I454*J454*(1-L454),0)</x:f>
        <x:v>277.44</x:v>
      </x:c>
      <x:c r="N454" s="12" t="n">
        <x:f>IF(H454="Completed",I454*K454,0)</x:f>
        <x:v>136</x:v>
      </x:c>
      <x:c r="O454" s="12" t="n">
        <x:f>M454-N454</x:f>
        <x:v>141.44</x:v>
      </x:c>
      <x:c r="P454" s="16" t="n">
        <x:f>IFERROR(O454/M454,0)</x:f>
        <x:v>0.5098039215686274</x:v>
      </x:c>
      <x:c r="Q454" t="n">
        <x:f>YEAR(B454)</x:f>
        <x:v>2025</x:v>
      </x:c>
      <x:c r="R454" t="str">
        <x:f>TEXT(B454,"yyyy-mm")</x:f>
        <x:v>2025-03</x:v>
      </x:c>
    </x:row>
    <x:row r="455">
      <x:c r="A455" t="n">
        <x:v>10169</x:v>
      </x:c>
      <x:c r="B455" s="10" t="n">
        <x:v>45743</x:v>
      </x:c>
      <x:c r="C455" t="str">
        <x:v>P008</x:v>
      </x:c>
      <x:c r="D455" t="str">
        <x:v>Webcam</x:v>
      </x:c>
      <x:c r="E455" t="str">
        <x:v>Electronics</x:v>
      </x:c>
      <x:c r="F455" t="str">
        <x:v>Scotland</x:v>
      </x:c>
      <x:c r="G455" t="str">
        <x:v>Online</x:v>
      </x:c>
      <x:c r="H455" t="str">
        <x:v>Completed</x:v>
      </x:c>
      <x:c r="I455" t="n">
        <x:v>3</x:v>
      </x:c>
      <x:c r="J455" s="12" t="n">
        <x:v>91.42</x:v>
      </x:c>
      <x:c r="K455" s="12" t="n">
        <x:v>42.84</x:v>
      </x:c>
      <x:c r="L455" s="14" t="n">
        <x:v>0</x:v>
      </x:c>
      <x:c r="M455" s="12" t="n">
        <x:f>IF(H455="Completed",I455*J455*(1-L455),0)</x:f>
        <x:v>274.26</x:v>
      </x:c>
      <x:c r="N455" s="12" t="n">
        <x:f>IF(H455="Completed",I455*K455,0)</x:f>
        <x:v>128.52</x:v>
      </x:c>
      <x:c r="O455" s="12" t="n">
        <x:f>M455-N455</x:f>
        <x:v>145.73999999999998</x:v>
      </x:c>
      <x:c r="P455" s="16" t="n">
        <x:f>IFERROR(O455/M455,0)</x:f>
        <x:v>0.5313935681470138</x:v>
      </x:c>
      <x:c r="Q455" t="n">
        <x:f>YEAR(B455)</x:f>
        <x:v>2025</x:v>
      </x:c>
      <x:c r="R455" t="str">
        <x:f>TEXT(B455,"yyyy-mm")</x:f>
        <x:v>2025-03</x:v>
      </x:c>
    </x:row>
    <x:row r="456">
      <x:c r="A456" t="n">
        <x:v>10396</x:v>
      </x:c>
      <x:c r="B456" s="10" t="n">
        <x:v>45745</x:v>
      </x:c>
      <x:c r="C456" t="str">
        <x:v>P006</x:v>
      </x:c>
      <x:c r="D456" t="str">
        <x:v>Chair</x:v>
      </x:c>
      <x:c r="E456" t="str">
        <x:v>Furniture</x:v>
      </x:c>
      <x:c r="F456" t="str">
        <x:v>South</x:v>
      </x:c>
      <x:c r="G456" t="str">
        <x:v>Retail</x:v>
      </x:c>
      <x:c r="H456" t="str">
        <x:v>Completed</x:v>
      </x:c>
      <x:c r="I456" t="n">
        <x:v>3</x:v>
      </x:c>
      <x:c r="J456" s="12" t="n">
        <x:v>135.12</x:v>
      </x:c>
      <x:c r="K456" s="12" t="n">
        <x:v>69.75</x:v>
      </x:c>
      <x:c r="L456" s="14" t="n">
        <x:v>0</x:v>
      </x:c>
      <x:c r="M456" s="12" t="n">
        <x:f>IF(H456="Completed",I456*J456*(1-L456),0)</x:f>
        <x:v>405.36</x:v>
      </x:c>
      <x:c r="N456" s="12" t="n">
        <x:f>IF(H456="Completed",I456*K456,0)</x:f>
        <x:v>209.25</x:v>
      </x:c>
      <x:c r="O456" s="12" t="n">
        <x:f>M456-N456</x:f>
        <x:v>196.11</x:v>
      </x:c>
      <x:c r="P456" s="16" t="n">
        <x:f>IFERROR(O456/M456,0)</x:f>
        <x:v>0.48379218472468916</x:v>
      </x:c>
      <x:c r="Q456" t="n">
        <x:f>YEAR(B456)</x:f>
        <x:v>2025</x:v>
      </x:c>
      <x:c r="R456" t="str">
        <x:f>TEXT(B456,"yyyy-mm")</x:f>
        <x:v>2025-03</x:v>
      </x:c>
    </x:row>
    <x:row r="457">
      <x:c r="A457" t="n">
        <x:v>10542</x:v>
      </x:c>
      <x:c r="B457" s="10" t="n">
        <x:v>45745</x:v>
      </x:c>
      <x:c r="C457" t="str">
        <x:v>P003</x:v>
      </x:c>
      <x:c r="D457" t="str">
        <x:v>Keyboard</x:v>
      </x:c>
      <x:c r="E457" t="str">
        <x:v>Accessories</x:v>
      </x:c>
      <x:c r="F457" t="str">
        <x:v>South</x:v>
      </x:c>
      <x:c r="G457" t="str">
        <x:v>Online</x:v>
      </x:c>
      <x:c r="H457" t="str">
        <x:v>Completed</x:v>
      </x:c>
      <x:c r="I457" t="n">
        <x:v>2</x:v>
      </x:c>
      <x:c r="J457" s="12" t="n">
        <x:v>48.75</x:v>
      </x:c>
      <x:c r="K457" s="12" t="n">
        <x:v>26.67</x:v>
      </x:c>
      <x:c r="L457" s="14" t="n">
        <x:v>0.15</x:v>
      </x:c>
      <x:c r="M457" s="12" t="n">
        <x:f>IF(H457="Completed",I457*J457*(1-L457),0)</x:f>
        <x:v>82.875</x:v>
      </x:c>
      <x:c r="N457" s="12" t="n">
        <x:f>IF(H457="Completed",I457*K457,0)</x:f>
        <x:v>53.34</x:v>
      </x:c>
      <x:c r="O457" s="12" t="n">
        <x:f>M457-N457</x:f>
        <x:v>29.534999999999997</x:v>
      </x:c>
      <x:c r="P457" s="16" t="n">
        <x:f>IFERROR(O457/M457,0)</x:f>
        <x:v>0.3563800904977375</x:v>
      </x:c>
      <x:c r="Q457" t="n">
        <x:f>YEAR(B457)</x:f>
        <x:v>2025</x:v>
      </x:c>
      <x:c r="R457" t="str">
        <x:f>TEXT(B457,"yyyy-mm")</x:f>
        <x:v>2025-03</x:v>
      </x:c>
    </x:row>
    <x:row r="458">
      <x:c r="A458" t="n">
        <x:v>10780</x:v>
      </x:c>
      <x:c r="B458" s="10" t="n">
        <x:v>45745</x:v>
      </x:c>
      <x:c r="C458" t="str">
        <x:v>P008</x:v>
      </x:c>
      <x:c r="D458" t="str">
        <x:v>Webcam</x:v>
      </x:c>
      <x:c r="E458" t="str">
        <x:v>Electronics</x:v>
      </x:c>
      <x:c r="F458" t="str">
        <x:v>North</x:v>
      </x:c>
      <x:c r="G458" t="str">
        <x:v>Retail</x:v>
      </x:c>
      <x:c r="H458" t="str">
        <x:v>Completed</x:v>
      </x:c>
      <x:c r="I458" t="n">
        <x:v>1</x:v>
      </x:c>
      <x:c r="J458" s="12" t="n">
        <x:v>87.35</x:v>
      </x:c>
      <x:c r="K458" s="12" t="n">
        <x:v>42.06</x:v>
      </x:c>
      <x:c r="L458" s="14" t="n">
        <x:v>0.15</x:v>
      </x:c>
      <x:c r="M458" s="12" t="n">
        <x:f>IF(H458="Completed",I458*J458*(1-L458),0)</x:f>
        <x:v>74.24749999999999</x:v>
      </x:c>
      <x:c r="N458" s="12" t="n">
        <x:f>IF(H458="Completed",I458*K458,0)</x:f>
        <x:v>42.06</x:v>
      </x:c>
      <x:c r="O458" s="12" t="n">
        <x:f>M458-N458</x:f>
        <x:v>32.187499999999986</x:v>
      </x:c>
      <x:c r="P458" s="16" t="n">
        <x:f>IFERROR(O458/M458,0)</x:f>
        <x:v>0.4335162800094278</x:v>
      </x:c>
      <x:c r="Q458" t="n">
        <x:f>YEAR(B458)</x:f>
        <x:v>2025</x:v>
      </x:c>
      <x:c r="R458" t="str">
        <x:f>TEXT(B458,"yyyy-mm")</x:f>
        <x:v>2025-03</x:v>
      </x:c>
    </x:row>
    <x:row r="459">
      <x:c r="A459" t="n">
        <x:v>10890</x:v>
      </x:c>
      <x:c r="B459" s="10" t="n">
        <x:v>45745</x:v>
      </x:c>
      <x:c r="C459" t="str">
        <x:v>P005</x:v>
      </x:c>
      <x:c r="D459" t="str">
        <x:v>Desk</x:v>
      </x:c>
      <x:c r="E459" t="str">
        <x:v>Furniture</x:v>
      </x:c>
      <x:c r="F459" t="str">
        <x:v>Scotland</x:v>
      </x:c>
      <x:c r="G459" t="str">
        <x:v>Retail</x:v>
      </x:c>
      <x:c r="H459" t="str">
        <x:v>Cancelled</x:v>
      </x:c>
      <x:c r="I459" t="n">
        <x:v>1</x:v>
      </x:c>
      <x:c r="J459" s="12" t="n">
        <x:v>282.08</x:v>
      </x:c>
      <x:c r="K459" s="12" t="n">
        <x:v>157.38</x:v>
      </x:c>
      <x:c r="L459" s="14" t="n">
        <x:v>0.15</x:v>
      </x:c>
      <x:c r="M459" s="12" t="n">
        <x:f>IF(H459="Completed",I459*J459*(1-L459),0)</x:f>
        <x:v>0</x:v>
      </x:c>
      <x:c r="N459" s="12" t="n">
        <x:f>IF(H459="Completed",I459*K459,0)</x:f>
        <x:v>0</x:v>
      </x:c>
      <x:c r="O459" s="12" t="n">
        <x:f>M459-N459</x:f>
        <x:v>0</x:v>
      </x:c>
      <x:c r="P459" s="16" t="n">
        <x:f>IFERROR(O459/M459,0)</x:f>
        <x:v>0</x:v>
      </x:c>
      <x:c r="Q459" t="n">
        <x:f>YEAR(B459)</x:f>
        <x:v>2025</x:v>
      </x:c>
      <x:c r="R459" t="str">
        <x:f>TEXT(B459,"yyyy-mm")</x:f>
        <x:v>2025-03</x:v>
      </x:c>
    </x:row>
    <x:row r="460">
      <x:c r="A460" t="n">
        <x:v>10126</x:v>
      </x:c>
      <x:c r="B460" s="10" t="n">
        <x:v>45747</x:v>
      </x:c>
      <x:c r="C460" t="str">
        <x:v>P004</x:v>
      </x:c>
      <x:c r="D460" t="str">
        <x:v>Mouse</x:v>
      </x:c>
      <x:c r="E460" t="str">
        <x:v>Accessories</x:v>
      </x:c>
      <x:c r="F460" t="str">
        <x:v>North</x:v>
      </x:c>
      <x:c r="G460" t="str">
        <x:v>Retail</x:v>
      </x:c>
      <x:c r="H460" t="str">
        <x:v>Cancelled</x:v>
      </x:c>
      <x:c r="I460" t="n">
        <x:v>3</x:v>
      </x:c>
      <x:c r="J460" s="12" t="n">
        <x:v>26.87</x:v>
      </x:c>
      <x:c r="K460" s="12" t="n">
        <x:v>13</x:v>
      </x:c>
      <x:c r="L460" s="14" t="n">
        <x:v>0.15</x:v>
      </x:c>
      <x:c r="M460" s="12" t="n">
        <x:f>IF(H460="Completed",I460*J460*(1-L460),0)</x:f>
        <x:v>0</x:v>
      </x:c>
      <x:c r="N460" s="12" t="n">
        <x:f>IF(H460="Completed",I460*K460,0)</x:f>
        <x:v>0</x:v>
      </x:c>
      <x:c r="O460" s="12" t="n">
        <x:f>M460-N460</x:f>
        <x:v>0</x:v>
      </x:c>
      <x:c r="P460" s="16" t="n">
        <x:f>IFERROR(O460/M460,0)</x:f>
        <x:v>0</x:v>
      </x:c>
      <x:c r="Q460" t="n">
        <x:f>YEAR(B460)</x:f>
        <x:v>2025</x:v>
      </x:c>
      <x:c r="R460" t="str">
        <x:f>TEXT(B460,"yyyy-mm")</x:f>
        <x:v>2025-03</x:v>
      </x:c>
    </x:row>
    <x:row r="461">
      <x:c r="A461" t="n">
        <x:v>10851</x:v>
      </x:c>
      <x:c r="B461" s="10" t="n">
        <x:v>45747</x:v>
      </x:c>
      <x:c r="C461" t="str">
        <x:v>P008</x:v>
      </x:c>
      <x:c r="D461" t="str">
        <x:v>Webcam</x:v>
      </x:c>
      <x:c r="E461" t="str">
        <x:v>Electronics</x:v>
      </x:c>
      <x:c r="F461" t="str">
        <x:v>North</x:v>
      </x:c>
      <x:c r="G461" t="str">
        <x:v>Online</x:v>
      </x:c>
      <x:c r="H461" t="str">
        <x:v>Completed</x:v>
      </x:c>
      <x:c r="I461" t="n">
        <x:v>4</x:v>
      </x:c>
      <x:c r="J461" s="12" t="n">
        <x:v>88.17</x:v>
      </x:c>
      <x:c r="K461" s="12" t="n">
        <x:v>42.9</x:v>
      </x:c>
      <x:c r="L461" s="14" t="n">
        <x:v>0</x:v>
      </x:c>
      <x:c r="M461" s="12" t="n">
        <x:f>IF(H461="Completed",I461*J461*(1-L461),0)</x:f>
        <x:v>352.68</x:v>
      </x:c>
      <x:c r="N461" s="12" t="n">
        <x:f>IF(H461="Completed",I461*K461,0)</x:f>
        <x:v>171.6</x:v>
      </x:c>
      <x:c r="O461" s="12" t="n">
        <x:f>M461-N461</x:f>
        <x:v>181.08</x:v>
      </x:c>
      <x:c r="P461" s="16" t="n">
        <x:f>IFERROR(O461/M461,0)</x:f>
        <x:v>0.5134399455597142</x:v>
      </x:c>
      <x:c r="Q461" t="n">
        <x:f>YEAR(B461)</x:f>
        <x:v>2025</x:v>
      </x:c>
      <x:c r="R461" t="str">
        <x:f>TEXT(B461,"yyyy-mm")</x:f>
        <x:v>2025-03</x:v>
      </x:c>
    </x:row>
    <x:row r="462">
      <x:c r="A462" t="n">
        <x:v>10910</x:v>
      </x:c>
      <x:c r="B462" s="10" t="n">
        <x:v>45747</x:v>
      </x:c>
      <x:c r="C462" t="str">
        <x:v>P001</x:v>
      </x:c>
      <x:c r="D462" t="str">
        <x:v>Laptop</x:v>
      </x:c>
      <x:c r="E462" t="str">
        <x:v>Electronics</x:v>
      </x:c>
      <x:c r="F462" t="str">
        <x:v>Scotland</x:v>
      </x:c>
      <x:c r="G462" t="str">
        <x:v>Retail</x:v>
      </x:c>
      <x:c r="H462" t="str">
        <x:v>Completed</x:v>
      </x:c>
      <x:c r="I462" t="n">
        <x:v>2</x:v>
      </x:c>
      <x:c r="J462" s="12" t="n">
        <x:v>898.19</x:v>
      </x:c>
      <x:c r="K462" s="12" t="n">
        <x:v>626.62</x:v>
      </x:c>
      <x:c r="L462" s="14" t="n">
        <x:v>0</x:v>
      </x:c>
      <x:c r="M462" s="12" t="n">
        <x:f>IF(H462="Completed",I462*J462*(1-L462),0)</x:f>
        <x:v>1796.38</x:v>
      </x:c>
      <x:c r="N462" s="12" t="n">
        <x:f>IF(H462="Completed",I462*K462,0)</x:f>
        <x:v>1253.24</x:v>
      </x:c>
      <x:c r="O462" s="12" t="n">
        <x:f>M462-N462</x:f>
        <x:v>543.1400000000001</x:v>
      </x:c>
      <x:c r="P462" s="16" t="n">
        <x:f>IFERROR(O462/M462,0)</x:f>
        <x:v>0.3023525089346352</x:v>
      </x:c>
      <x:c r="Q462" t="n">
        <x:f>YEAR(B462)</x:f>
        <x:v>2025</x:v>
      </x:c>
      <x:c r="R462" t="str">
        <x:f>TEXT(B462,"yyyy-mm")</x:f>
        <x:v>2025-03</x:v>
      </x:c>
    </x:row>
    <x:row r="463">
      <x:c r="A463" t="n">
        <x:v>10619</x:v>
      </x:c>
      <x:c r="B463" s="10" t="n">
        <x:v>45748</x:v>
      </x:c>
      <x:c r="C463" t="str">
        <x:v>P005</x:v>
      </x:c>
      <x:c r="D463" t="str">
        <x:v>Desk</x:v>
      </x:c>
      <x:c r="E463" t="str">
        <x:v>Furniture</x:v>
      </x:c>
      <x:c r="F463" t="str">
        <x:v>North</x:v>
      </x:c>
      <x:c r="G463" t="str">
        <x:v>Online</x:v>
      </x:c>
      <x:c r="H463" t="str">
        <x:v>Completed</x:v>
      </x:c>
      <x:c r="I463" t="n">
        <x:v>2</x:v>
      </x:c>
      <x:c r="J463" s="12" t="n">
        <x:v>278.73</x:v>
      </x:c>
      <x:c r="K463" s="12" t="n">
        <x:v>153.86</x:v>
      </x:c>
      <x:c r="L463" s="14" t="n">
        <x:v>0</x:v>
      </x:c>
      <x:c r="M463" s="12" t="n">
        <x:f>IF(H463="Completed",I463*J463*(1-L463),0)</x:f>
        <x:v>557.46</x:v>
      </x:c>
      <x:c r="N463" s="12" t="n">
        <x:f>IF(H463="Completed",I463*K463,0)</x:f>
        <x:v>307.72</x:v>
      </x:c>
      <x:c r="O463" s="12" t="n">
        <x:f>M463-N463</x:f>
        <x:v>249.74</x:v>
      </x:c>
      <x:c r="P463" s="16" t="n">
        <x:f>IFERROR(O463/M463,0)</x:f>
        <x:v>0.44799626879058585</x:v>
      </x:c>
      <x:c r="Q463" t="n">
        <x:f>YEAR(B463)</x:f>
        <x:v>2025</x:v>
      </x:c>
      <x:c r="R463" t="str">
        <x:f>TEXT(B463,"yyyy-mm")</x:f>
        <x:v>2025-04</x:v>
      </x:c>
    </x:row>
    <x:row r="464">
      <x:c r="A464" t="n">
        <x:v>10688</x:v>
      </x:c>
      <x:c r="B464" s="10" t="n">
        <x:v>45748</x:v>
      </x:c>
      <x:c r="C464" t="str">
        <x:v>P001</x:v>
      </x:c>
      <x:c r="D464" t="str">
        <x:v>Laptop</x:v>
      </x:c>
      <x:c r="E464" t="str">
        <x:v>Electronics</x:v>
      </x:c>
      <x:c r="F464" t="str">
        <x:v>North</x:v>
      </x:c>
      <x:c r="G464" t="str">
        <x:v>Retail</x:v>
      </x:c>
      <x:c r="H464" t="str">
        <x:v>Completed</x:v>
      </x:c>
      <x:c r="I464" t="n">
        <x:v>4</x:v>
      </x:c>
      <x:c r="J464" s="12" t="n">
        <x:v>917.55</x:v>
      </x:c>
      <x:c r="K464" s="12" t="n">
        <x:v>612.3</x:v>
      </x:c>
      <x:c r="L464" s="14" t="n">
        <x:v>0.15</x:v>
      </x:c>
      <x:c r="M464" s="12" t="n">
        <x:f>IF(H464="Completed",I464*J464*(1-L464),0)</x:f>
        <x:v>3119.6699999999996</x:v>
      </x:c>
      <x:c r="N464" s="12" t="n">
        <x:f>IF(H464="Completed",I464*K464,0)</x:f>
        <x:v>2449.2</x:v>
      </x:c>
      <x:c r="O464" s="12" t="n">
        <x:f>M464-N464</x:f>
        <x:v>670.4699999999998</x:v>
      </x:c>
      <x:c r="P464" s="16" t="n">
        <x:f>IFERROR(O464/M464,0)</x:f>
        <x:v>0.21491696237101998</x:v>
      </x:c>
      <x:c r="Q464" t="n">
        <x:f>YEAR(B464)</x:f>
        <x:v>2025</x:v>
      </x:c>
      <x:c r="R464" t="str">
        <x:f>TEXT(B464,"yyyy-mm")</x:f>
        <x:v>2025-04</x:v>
      </x:c>
    </x:row>
    <x:row r="465">
      <x:c r="A465" t="n">
        <x:v>10155</x:v>
      </x:c>
      <x:c r="B465" s="10" t="n">
        <x:v>45751</x:v>
      </x:c>
      <x:c r="C465" t="str">
        <x:v>P006</x:v>
      </x:c>
      <x:c r="D465" t="str">
        <x:v>Chair</x:v>
      </x:c>
      <x:c r="E465" t="str">
        <x:v>Furniture</x:v>
      </x:c>
      <x:c r="F465" t="str">
        <x:v>North</x:v>
      </x:c>
      <x:c r="G465" t="str">
        <x:v>Online</x:v>
      </x:c>
      <x:c r="H465" t="str">
        <x:v>Completed</x:v>
      </x:c>
      <x:c r="I465" t="n">
        <x:v>3</x:v>
      </x:c>
      <x:c r="J465" s="12" t="n">
        <x:v>133.81</x:v>
      </x:c>
      <x:c r="K465" s="12" t="n">
        <x:v>67.57</x:v>
      </x:c>
      <x:c r="L465" s="14" t="n">
        <x:v>0.15</x:v>
      </x:c>
      <x:c r="M465" s="12" t="n">
        <x:f>IF(H465="Completed",I465*J465*(1-L465),0)</x:f>
        <x:v>341.2155</x:v>
      </x:c>
      <x:c r="N465" s="12" t="n">
        <x:f>IF(H465="Completed",I465*K465,0)</x:f>
        <x:v>202.70999999999998</x:v>
      </x:c>
      <x:c r="O465" s="12" t="n">
        <x:f>M465-N465</x:f>
        <x:v>138.50550000000004</x:v>
      </x:c>
      <x:c r="P465" s="16" t="n">
        <x:f>IFERROR(O465/M465,0)</x:f>
        <x:v>0.4059179609367102</x:v>
      </x:c>
      <x:c r="Q465" t="n">
        <x:f>YEAR(B465)</x:f>
        <x:v>2025</x:v>
      </x:c>
      <x:c r="R465" t="str">
        <x:f>TEXT(B465,"yyyy-mm")</x:f>
        <x:v>2025-04</x:v>
      </x:c>
    </x:row>
    <x:row r="466">
      <x:c r="A466" t="n">
        <x:v>10198</x:v>
      </x:c>
      <x:c r="B466" s="10" t="n">
        <x:v>45752</x:v>
      </x:c>
      <x:c r="C466" t="str">
        <x:v>P008</x:v>
      </x:c>
      <x:c r="D466" t="str">
        <x:v>Webcam</x:v>
      </x:c>
      <x:c r="E466" t="str">
        <x:v>Electronics</x:v>
      </x:c>
      <x:c r="F466" t="str">
        <x:v>North</x:v>
      </x:c>
      <x:c r="G466" t="str">
        <x:v>Retail</x:v>
      </x:c>
      <x:c r="H466" t="str">
        <x:v>Cancelled</x:v>
      </x:c>
      <x:c r="I466" t="n">
        <x:v>3</x:v>
      </x:c>
      <x:c r="J466" s="12" t="n">
        <x:v>89.99</x:v>
      </x:c>
      <x:c r="K466" s="12" t="n">
        <x:v>42.77</x:v>
      </x:c>
      <x:c r="L466" s="14" t="n">
        <x:v>0.15</x:v>
      </x:c>
      <x:c r="M466" s="12" t="n">
        <x:f>IF(H466="Completed",I466*J466*(1-L466),0)</x:f>
        <x:v>0</x:v>
      </x:c>
      <x:c r="N466" s="12" t="n">
        <x:f>IF(H466="Completed",I466*K466,0)</x:f>
        <x:v>0</x:v>
      </x:c>
      <x:c r="O466" s="12" t="n">
        <x:f>M466-N466</x:f>
        <x:v>0</x:v>
      </x:c>
      <x:c r="P466" s="16" t="n">
        <x:f>IFERROR(O466/M466,0)</x:f>
        <x:v>0</x:v>
      </x:c>
      <x:c r="Q466" t="n">
        <x:f>YEAR(B466)</x:f>
        <x:v>2025</x:v>
      </x:c>
      <x:c r="R466" t="str">
        <x:f>TEXT(B466,"yyyy-mm")</x:f>
        <x:v>2025-04</x:v>
      </x:c>
    </x:row>
    <x:row r="467">
      <x:c r="A467" t="n">
        <x:v>10299</x:v>
      </x:c>
      <x:c r="B467" s="10" t="n">
        <x:v>45752</x:v>
      </x:c>
      <x:c r="C467" t="str">
        <x:v>P007</x:v>
      </x:c>
      <x:c r="D467" t="str">
        <x:v>Headset</x:v>
      </x:c>
      <x:c r="E467" t="str">
        <x:v>Accessories</x:v>
      </x:c>
      <x:c r="F467" t="str">
        <x:v>North</x:v>
      </x:c>
      <x:c r="G467" t="str">
        <x:v>Online</x:v>
      </x:c>
      <x:c r="H467" t="str">
        <x:v>Completed</x:v>
      </x:c>
      <x:c r="I467" t="n">
        <x:v>4</x:v>
      </x:c>
      <x:c r="J467" s="12" t="n">
        <x:v>73.92</x:v>
      </x:c>
      <x:c r="K467" s="12" t="n">
        <x:v>34.41</x:v>
      </x:c>
      <x:c r="L467" s="14" t="n">
        <x:v>0.15</x:v>
      </x:c>
      <x:c r="M467" s="12" t="n">
        <x:f>IF(H467="Completed",I467*J467*(1-L467),0)</x:f>
        <x:v>251.328</x:v>
      </x:c>
      <x:c r="N467" s="12" t="n">
        <x:f>IF(H467="Completed",I467*K467,0)</x:f>
        <x:v>137.64</x:v>
      </x:c>
      <x:c r="O467" s="12" t="n">
        <x:f>M467-N467</x:f>
        <x:v>113.68800000000002</x:v>
      </x:c>
      <x:c r="P467" s="16" t="n">
        <x:f>IFERROR(O467/M467,0)</x:f>
        <x:v>0.4523491214667686</x:v>
      </x:c>
      <x:c r="Q467" t="n">
        <x:f>YEAR(B467)</x:f>
        <x:v>2025</x:v>
      </x:c>
      <x:c r="R467" t="str">
        <x:f>TEXT(B467,"yyyy-mm")</x:f>
        <x:v>2025-04</x:v>
      </x:c>
    </x:row>
    <x:row r="468">
      <x:c r="A468" t="n">
        <x:v>10695</x:v>
      </x:c>
      <x:c r="B468" s="10" t="n">
        <x:v>45752</x:v>
      </x:c>
      <x:c r="C468" t="str">
        <x:v>P001</x:v>
      </x:c>
      <x:c r="D468" t="str">
        <x:v>Laptop</x:v>
      </x:c>
      <x:c r="E468" t="str">
        <x:v>Electronics</x:v>
      </x:c>
      <x:c r="F468" t="str">
        <x:v>Midlands</x:v>
      </x:c>
      <x:c r="G468" t="str">
        <x:v>Online</x:v>
      </x:c>
      <x:c r="H468" t="str">
        <x:v>Completed</x:v>
      </x:c>
      <x:c r="I468" t="n">
        <x:v>1</x:v>
      </x:c>
      <x:c r="J468" s="12" t="n">
        <x:v>900.01</x:v>
      </x:c>
      <x:c r="K468" s="12" t="n">
        <x:v>632.62</x:v>
      </x:c>
      <x:c r="L468" s="14" t="n">
        <x:v>0.05</x:v>
      </x:c>
      <x:c r="M468" s="12" t="n">
        <x:f>IF(H468="Completed",I468*J468*(1-L468),0)</x:f>
        <x:v>855.0095</x:v>
      </x:c>
      <x:c r="N468" s="12" t="n">
        <x:f>IF(H468="Completed",I468*K468,0)</x:f>
        <x:v>632.62</x:v>
      </x:c>
      <x:c r="O468" s="12" t="n">
        <x:f>M468-N468</x:f>
        <x:v>222.3895</x:v>
      </x:c>
      <x:c r="P468" s="16" t="n">
        <x:f>IFERROR(O468/M468,0)</x:f>
        <x:v>0.26010178834270264</x:v>
      </x:c>
      <x:c r="Q468" t="n">
        <x:f>YEAR(B468)</x:f>
        <x:v>2025</x:v>
      </x:c>
      <x:c r="R468" t="str">
        <x:f>TEXT(B468,"yyyy-mm")</x:f>
        <x:v>2025-04</x:v>
      </x:c>
    </x:row>
    <x:row r="469">
      <x:c r="A469" t="n">
        <x:v>10378</x:v>
      </x:c>
      <x:c r="B469" s="10" t="n">
        <x:v>45754</x:v>
      </x:c>
      <x:c r="C469" t="str">
        <x:v>P002</x:v>
      </x:c>
      <x:c r="D469" t="str">
        <x:v>Monitor</x:v>
      </x:c>
      <x:c r="E469" t="str">
        <x:v>Electronics</x:v>
      </x:c>
      <x:c r="F469" t="str">
        <x:v>Midlands</x:v>
      </x:c>
      <x:c r="G469" t="str">
        <x:v>Online</x:v>
      </x:c>
      <x:c r="H469" t="str">
        <x:v>Completed</x:v>
      </x:c>
      <x:c r="I469" t="n">
        <x:v>1</x:v>
      </x:c>
      <x:c r="J469" s="12" t="n">
        <x:v>283.27</x:v>
      </x:c>
      <x:c r="K469" s="12" t="n">
        <x:v>174.15</x:v>
      </x:c>
      <x:c r="L469" s="14" t="n">
        <x:v>0</x:v>
      </x:c>
      <x:c r="M469" s="12" t="n">
        <x:f>IF(H469="Completed",I469*J469*(1-L469),0)</x:f>
        <x:v>283.27</x:v>
      </x:c>
      <x:c r="N469" s="12" t="n">
        <x:f>IF(H469="Completed",I469*K469,0)</x:f>
        <x:v>174.15</x:v>
      </x:c>
      <x:c r="O469" s="12" t="n">
        <x:f>M469-N469</x:f>
        <x:v>109.11999999999998</x:v>
      </x:c>
      <x:c r="P469" s="16" t="n">
        <x:f>IFERROR(O469/M469,0)</x:f>
        <x:v>0.3852155187630176</x:v>
      </x:c>
      <x:c r="Q469" t="n">
        <x:f>YEAR(B469)</x:f>
        <x:v>2025</x:v>
      </x:c>
      <x:c r="R469" t="str">
        <x:f>TEXT(B469,"yyyy-mm")</x:f>
        <x:v>2025-04</x:v>
      </x:c>
    </x:row>
    <x:row r="470">
      <x:c r="A470" t="n">
        <x:v>10621</x:v>
      </x:c>
      <x:c r="B470" s="10" t="n">
        <x:v>45756</x:v>
      </x:c>
      <x:c r="C470" t="str">
        <x:v>P007</x:v>
      </x:c>
      <x:c r="D470" t="str">
        <x:v>Headset</x:v>
      </x:c>
      <x:c r="E470" t="str">
        <x:v>Accessories</x:v>
      </x:c>
      <x:c r="F470" t="str">
        <x:v>North</x:v>
      </x:c>
      <x:c r="G470" t="str">
        <x:v>Retail</x:v>
      </x:c>
      <x:c r="H470" t="str">
        <x:v>Completed</x:v>
      </x:c>
      <x:c r="I470" t="n">
        <x:v>4</x:v>
      </x:c>
      <x:c r="J470" s="12" t="n">
        <x:v>71.24</x:v>
      </x:c>
      <x:c r="K470" s="12" t="n">
        <x:v>35.4</x:v>
      </x:c>
      <x:c r="L470" s="14" t="n">
        <x:v>0.1</x:v>
      </x:c>
      <x:c r="M470" s="12" t="n">
        <x:f>IF(H470="Completed",I470*J470*(1-L470),0)</x:f>
        <x:v>256.464</x:v>
      </x:c>
      <x:c r="N470" s="12" t="n">
        <x:f>IF(H470="Completed",I470*K470,0)</x:f>
        <x:v>141.6</x:v>
      </x:c>
      <x:c r="O470" s="12" t="n">
        <x:f>M470-N470</x:f>
        <x:v>114.864</x:v>
      </x:c>
      <x:c r="P470" s="16" t="n">
        <x:f>IFERROR(O470/M470,0)</x:f>
        <x:v>0.447875725247988</x:v>
      </x:c>
      <x:c r="Q470" t="n">
        <x:f>YEAR(B470)</x:f>
        <x:v>2025</x:v>
      </x:c>
      <x:c r="R470" t="str">
        <x:f>TEXT(B470,"yyyy-mm")</x:f>
        <x:v>2025-04</x:v>
      </x:c>
    </x:row>
    <x:row r="471">
      <x:c r="A471" t="n">
        <x:v>10877</x:v>
      </x:c>
      <x:c r="B471" s="10" t="n">
        <x:v>45756</x:v>
      </x:c>
      <x:c r="C471" t="str">
        <x:v>P006</x:v>
      </x:c>
      <x:c r="D471" t="str">
        <x:v>Chair</x:v>
      </x:c>
      <x:c r="E471" t="str">
        <x:v>Furniture</x:v>
      </x:c>
      <x:c r="F471" t="str">
        <x:v>Scotland</x:v>
      </x:c>
      <x:c r="G471" t="str">
        <x:v>Partner</x:v>
      </x:c>
      <x:c r="H471" t="str">
        <x:v>Cancelled</x:v>
      </x:c>
      <x:c r="I471" t="n">
        <x:v>2</x:v>
      </x:c>
      <x:c r="J471" s="12" t="n">
        <x:v>139.4</x:v>
      </x:c>
      <x:c r="K471" s="12" t="n">
        <x:v>68.77</x:v>
      </x:c>
      <x:c r="L471" s="14" t="n">
        <x:v>0.15</x:v>
      </x:c>
      <x:c r="M471" s="12" t="n">
        <x:f>IF(H471="Completed",I471*J471*(1-L471),0)</x:f>
        <x:v>0</x:v>
      </x:c>
      <x:c r="N471" s="12" t="n">
        <x:f>IF(H471="Completed",I471*K471,0)</x:f>
        <x:v>0</x:v>
      </x:c>
      <x:c r="O471" s="12" t="n">
        <x:f>M471-N471</x:f>
        <x:v>0</x:v>
      </x:c>
      <x:c r="P471" s="16" t="n">
        <x:f>IFERROR(O471/M471,0)</x:f>
        <x:v>0</x:v>
      </x:c>
      <x:c r="Q471" t="n">
        <x:f>YEAR(B471)</x:f>
        <x:v>2025</x:v>
      </x:c>
      <x:c r="R471" t="str">
        <x:f>TEXT(B471,"yyyy-mm")</x:f>
        <x:v>2025-04</x:v>
      </x:c>
    </x:row>
    <x:row r="472">
      <x:c r="A472" t="n">
        <x:v>10776</x:v>
      </x:c>
      <x:c r="B472" s="10" t="n">
        <x:v>45757</x:v>
      </x:c>
      <x:c r="C472" t="str">
        <x:v>P002</x:v>
      </x:c>
      <x:c r="D472" t="str">
        <x:v>Monitor</x:v>
      </x:c>
      <x:c r="E472" t="str">
        <x:v>Electronics</x:v>
      </x:c>
      <x:c r="F472" t="str">
        <x:v>Midlands</x:v>
      </x:c>
      <x:c r="G472" t="str">
        <x:v>Online</x:v>
      </x:c>
      <x:c r="H472" t="str">
        <x:v>Completed</x:v>
      </x:c>
      <x:c r="I472" t="n">
        <x:v>1</x:v>
      </x:c>
      <x:c r="J472" s="12" t="n">
        <x:v>278.44</x:v>
      </x:c>
      <x:c r="K472" s="12" t="n">
        <x:v>167.05</x:v>
      </x:c>
      <x:c r="L472" s="14" t="n">
        <x:v>0</x:v>
      </x:c>
      <x:c r="M472" s="12" t="n">
        <x:f>IF(H472="Completed",I472*J472*(1-L472),0)</x:f>
        <x:v>278.44</x:v>
      </x:c>
      <x:c r="N472" s="12" t="n">
        <x:f>IF(H472="Completed",I472*K472,0)</x:f>
        <x:v>167.05</x:v>
      </x:c>
      <x:c r="O472" s="12" t="n">
        <x:f>M472-N472</x:f>
        <x:v>111.38999999999999</x:v>
      </x:c>
      <x:c r="P472" s="16" t="n">
        <x:f>IFERROR(O472/M472,0)</x:f>
        <x:v>0.40005028013216487</x:v>
      </x:c>
      <x:c r="Q472" t="n">
        <x:f>YEAR(B472)</x:f>
        <x:v>2025</x:v>
      </x:c>
      <x:c r="R472" t="str">
        <x:f>TEXT(B472,"yyyy-mm")</x:f>
        <x:v>2025-04</x:v>
      </x:c>
    </x:row>
    <x:row r="473">
      <x:c r="A473" t="n">
        <x:v>10443</x:v>
      </x:c>
      <x:c r="B473" s="10" t="n">
        <x:v>45759</x:v>
      </x:c>
      <x:c r="C473" t="str">
        <x:v>P006</x:v>
      </x:c>
      <x:c r="D473" t="str">
        <x:v>Chair</x:v>
      </x:c>
      <x:c r="E473" t="str">
        <x:v>Furniture</x:v>
      </x:c>
      <x:c r="F473" t="str">
        <x:v>Scotland</x:v>
      </x:c>
      <x:c r="G473" t="str">
        <x:v>Retail</x:v>
      </x:c>
      <x:c r="H473" t="str">
        <x:v>Completed</x:v>
      </x:c>
      <x:c r="I473" t="n">
        <x:v>3</x:v>
      </x:c>
      <x:c r="J473" s="12" t="n">
        <x:v>136.24</x:v>
      </x:c>
      <x:c r="K473" s="12" t="n">
        <x:v>68.75</x:v>
      </x:c>
      <x:c r="L473" s="14" t="n">
        <x:v>0</x:v>
      </x:c>
      <x:c r="M473" s="12" t="n">
        <x:f>IF(H473="Completed",I473*J473*(1-L473),0)</x:f>
        <x:v>408.72</x:v>
      </x:c>
      <x:c r="N473" s="12" t="n">
        <x:f>IF(H473="Completed",I473*K473,0)</x:f>
        <x:v>206.25</x:v>
      </x:c>
      <x:c r="O473" s="12" t="n">
        <x:f>M473-N473</x:f>
        <x:v>202.47000000000003</x:v>
      </x:c>
      <x:c r="P473" s="16" t="n">
        <x:f>IFERROR(O473/M473,0)</x:f>
        <x:v>0.4953758073987082</x:v>
      </x:c>
      <x:c r="Q473" t="n">
        <x:f>YEAR(B473)</x:f>
        <x:v>2025</x:v>
      </x:c>
      <x:c r="R473" t="str">
        <x:f>TEXT(B473,"yyyy-mm")</x:f>
        <x:v>2025-04</x:v>
      </x:c>
    </x:row>
    <x:row r="474">
      <x:c r="A474" t="n">
        <x:v>10620</x:v>
      </x:c>
      <x:c r="B474" s="10" t="n">
        <x:v>45761</x:v>
      </x:c>
      <x:c r="C474" t="str">
        <x:v>P008</x:v>
      </x:c>
      <x:c r="D474" t="str">
        <x:v>Webcam</x:v>
      </x:c>
      <x:c r="E474" t="str">
        <x:v>Electronics</x:v>
      </x:c>
      <x:c r="F474" t="str">
        <x:v>South</x:v>
      </x:c>
      <x:c r="G474" t="str">
        <x:v>Online</x:v>
      </x:c>
      <x:c r="H474" t="str">
        <x:v>Completed</x:v>
      </x:c>
      <x:c r="I474" t="n">
        <x:v>4</x:v>
      </x:c>
      <x:c r="J474" s="12" t="n">
        <x:v>87.68</x:v>
      </x:c>
      <x:c r="K474" s="12" t="n">
        <x:v>42.54</x:v>
      </x:c>
      <x:c r="L474" s="14" t="n">
        <x:v>0</x:v>
      </x:c>
      <x:c r="M474" s="12" t="n">
        <x:f>IF(H474="Completed",I474*J474*(1-L474),0)</x:f>
        <x:v>350.72</x:v>
      </x:c>
      <x:c r="N474" s="12" t="n">
        <x:f>IF(H474="Completed",I474*K474,0)</x:f>
        <x:v>170.16</x:v>
      </x:c>
      <x:c r="O474" s="12" t="n">
        <x:f>M474-N474</x:f>
        <x:v>180.56000000000003</x:v>
      </x:c>
      <x:c r="P474" s="16" t="n">
        <x:f>IFERROR(O474/M474,0)</x:f>
        <x:v>0.5148266423357665</x:v>
      </x:c>
      <x:c r="Q474" t="n">
        <x:f>YEAR(B474)</x:f>
        <x:v>2025</x:v>
      </x:c>
      <x:c r="R474" t="str">
        <x:f>TEXT(B474,"yyyy-mm")</x:f>
        <x:v>2025-04</x:v>
      </x:c>
    </x:row>
    <x:row r="475">
      <x:c r="A475" t="n">
        <x:v>10221</x:v>
      </x:c>
      <x:c r="B475" s="10" t="n">
        <x:v>45762</x:v>
      </x:c>
      <x:c r="C475" t="str">
        <x:v>P006</x:v>
      </x:c>
      <x:c r="D475" t="str">
        <x:v>Chair</x:v>
      </x:c>
      <x:c r="E475" t="str">
        <x:v>Furniture</x:v>
      </x:c>
      <x:c r="F475" t="str">
        <x:v>South</x:v>
      </x:c>
      <x:c r="G475" t="str">
        <x:v>Partner</x:v>
      </x:c>
      <x:c r="H475" t="str">
        <x:v>Completed</x:v>
      </x:c>
      <x:c r="I475" t="n">
        <x:v>3</x:v>
      </x:c>
      <x:c r="J475" s="12" t="n">
        <x:v>135.53</x:v>
      </x:c>
      <x:c r="K475" s="12" t="n">
        <x:v>69.89</x:v>
      </x:c>
      <x:c r="L475" s="14" t="n">
        <x:v>0.1</x:v>
      </x:c>
      <x:c r="M475" s="12" t="n">
        <x:f>IF(H475="Completed",I475*J475*(1-L475),0)</x:f>
        <x:v>365.93100000000004</x:v>
      </x:c>
      <x:c r="N475" s="12" t="n">
        <x:f>IF(H475="Completed",I475*K475,0)</x:f>
        <x:v>209.67000000000002</x:v>
      </x:c>
      <x:c r="O475" s="12" t="n">
        <x:f>M475-N475</x:f>
        <x:v>156.26100000000002</x:v>
      </x:c>
      <x:c r="P475" s="16" t="n">
        <x:f>IFERROR(O475/M475,0)</x:f>
        <x:v>0.4270231273108865</x:v>
      </x:c>
      <x:c r="Q475" t="n">
        <x:f>YEAR(B475)</x:f>
        <x:v>2025</x:v>
      </x:c>
      <x:c r="R475" t="str">
        <x:f>TEXT(B475,"yyyy-mm")</x:f>
        <x:v>2025-04</x:v>
      </x:c>
    </x:row>
    <x:row r="476">
      <x:c r="A476" t="n">
        <x:v>10815</x:v>
      </x:c>
      <x:c r="B476" s="10" t="n">
        <x:v>45765</x:v>
      </x:c>
      <x:c r="C476" t="str">
        <x:v>P004</x:v>
      </x:c>
      <x:c r="D476" t="str">
        <x:v>Mouse</x:v>
      </x:c>
      <x:c r="E476" t="str">
        <x:v>Accessories</x:v>
      </x:c>
      <x:c r="F476" t="str">
        <x:v>South</x:v>
      </x:c>
      <x:c r="G476" t="str">
        <x:v>Online</x:v>
      </x:c>
      <x:c r="H476" t="str">
        <x:v>Completed</x:v>
      </x:c>
      <x:c r="I476" t="n">
        <x:v>3</x:v>
      </x:c>
      <x:c r="J476" s="12" t="n">
        <x:v>27</x:v>
      </x:c>
      <x:c r="K476" s="12" t="n">
        <x:v>12.91</x:v>
      </x:c>
      <x:c r="L476" s="14" t="n">
        <x:v>0.1</x:v>
      </x:c>
      <x:c r="M476" s="12" t="n">
        <x:f>IF(H476="Completed",I476*J476*(1-L476),0)</x:f>
        <x:v>72.9</x:v>
      </x:c>
      <x:c r="N476" s="12" t="n">
        <x:f>IF(H476="Completed",I476*K476,0)</x:f>
        <x:v>38.730000000000004</x:v>
      </x:c>
      <x:c r="O476" s="12" t="n">
        <x:f>M476-N476</x:f>
        <x:v>34.17</x:v>
      </x:c>
      <x:c r="P476" s="16" t="n">
        <x:f>IFERROR(O476/M476,0)</x:f>
        <x:v>0.46872427983539094</x:v>
      </x:c>
      <x:c r="Q476" t="n">
        <x:f>YEAR(B476)</x:f>
        <x:v>2025</x:v>
      </x:c>
      <x:c r="R476" t="str">
        <x:f>TEXT(B476,"yyyy-mm")</x:f>
        <x:v>2025-04</x:v>
      </x:c>
    </x:row>
    <x:row r="477">
      <x:c r="A477" t="n">
        <x:v>10902</x:v>
      </x:c>
      <x:c r="B477" s="10" t="n">
        <x:v>45767</x:v>
      </x:c>
      <x:c r="C477" t="str">
        <x:v>P005</x:v>
      </x:c>
      <x:c r="D477" t="str">
        <x:v>Desk</x:v>
      </x:c>
      <x:c r="E477" t="str">
        <x:v>Furniture</x:v>
      </x:c>
      <x:c r="F477" t="str">
        <x:v>North</x:v>
      </x:c>
      <x:c r="G477" t="str">
        <x:v>Partner</x:v>
      </x:c>
      <x:c r="H477" t="str">
        <x:v>Completed</x:v>
      </x:c>
      <x:c r="I477" t="n">
        <x:v>2</x:v>
      </x:c>
      <x:c r="J477" s="12" t="n">
        <x:v>278.26</x:v>
      </x:c>
      <x:c r="K477" s="12" t="n">
        <x:v>158.41</x:v>
      </x:c>
      <x:c r="L477" s="14" t="n">
        <x:v>0</x:v>
      </x:c>
      <x:c r="M477" s="12" t="n">
        <x:f>IF(H477="Completed",I477*J477*(1-L477),0)</x:f>
        <x:v>556.52</x:v>
      </x:c>
      <x:c r="N477" s="12" t="n">
        <x:f>IF(H477="Completed",I477*K477,0)</x:f>
        <x:v>316.82</x:v>
      </x:c>
      <x:c r="O477" s="12" t="n">
        <x:f>M477-N477</x:f>
        <x:v>239.7</x:v>
      </x:c>
      <x:c r="P477" s="16" t="n">
        <x:f>IFERROR(O477/M477,0)</x:f>
        <x:v>0.43071228347588586</x:v>
      </x:c>
      <x:c r="Q477" t="n">
        <x:f>YEAR(B477)</x:f>
        <x:v>2025</x:v>
      </x:c>
      <x:c r="R477" t="str">
        <x:f>TEXT(B477,"yyyy-mm")</x:f>
        <x:v>2025-04</x:v>
      </x:c>
    </x:row>
    <x:row r="478">
      <x:c r="A478" t="n">
        <x:v>10714</x:v>
      </x:c>
      <x:c r="B478" s="10" t="n">
        <x:v>45768</x:v>
      </x:c>
      <x:c r="C478" t="str">
        <x:v>P008</x:v>
      </x:c>
      <x:c r="D478" t="str">
        <x:v>Webcam</x:v>
      </x:c>
      <x:c r="E478" t="str">
        <x:v>Electronics</x:v>
      </x:c>
      <x:c r="F478" t="str">
        <x:v>North</x:v>
      </x:c>
      <x:c r="G478" t="str">
        <x:v>Online</x:v>
      </x:c>
      <x:c r="H478" t="str">
        <x:v>Completed</x:v>
      </x:c>
      <x:c r="I478" t="n">
        <x:v>4</x:v>
      </x:c>
      <x:c r="J478" s="12" t="n">
        <x:v>87.31</x:v>
      </x:c>
      <x:c r="K478" s="12" t="n">
        <x:v>42.83</x:v>
      </x:c>
      <x:c r="L478" s="14" t="n">
        <x:v>0.1</x:v>
      </x:c>
      <x:c r="M478" s="12" t="n">
        <x:f>IF(H478="Completed",I478*J478*(1-L478),0)</x:f>
        <x:v>314.31600000000003</x:v>
      </x:c>
      <x:c r="N478" s="12" t="n">
        <x:f>IF(H478="Completed",I478*K478,0)</x:f>
        <x:v>171.32</x:v>
      </x:c>
      <x:c r="O478" s="12" t="n">
        <x:f>M478-N478</x:f>
        <x:v>142.99600000000004</x:v>
      </x:c>
      <x:c r="P478" s="16" t="n">
        <x:f>IFERROR(O478/M478,0)</x:f>
        <x:v>0.45494343272375576</x:v>
      </x:c>
      <x:c r="Q478" t="n">
        <x:f>YEAR(B478)</x:f>
        <x:v>2025</x:v>
      </x:c>
      <x:c r="R478" t="str">
        <x:f>TEXT(B478,"yyyy-mm")</x:f>
        <x:v>2025-04</x:v>
      </x:c>
    </x:row>
    <x:row r="479">
      <x:c r="A479" t="n">
        <x:v>10260</x:v>
      </x:c>
      <x:c r="B479" s="10" t="n">
        <x:v>45769</x:v>
      </x:c>
      <x:c r="C479" t="str">
        <x:v>P002</x:v>
      </x:c>
      <x:c r="D479" t="str">
        <x:v>Monitor</x:v>
      </x:c>
      <x:c r="E479" t="str">
        <x:v>Electronics</x:v>
      </x:c>
      <x:c r="F479" t="str">
        <x:v>Scotland</x:v>
      </x:c>
      <x:c r="G479" t="str">
        <x:v>Online</x:v>
      </x:c>
      <x:c r="H479" t="str">
        <x:v>Completed</x:v>
      </x:c>
      <x:c r="I479" t="n">
        <x:v>4</x:v>
      </x:c>
      <x:c r="J479" s="12" t="n">
        <x:v>282.69</x:v>
      </x:c>
      <x:c r="K479" s="12" t="n">
        <x:v>166.99</x:v>
      </x:c>
      <x:c r="L479" s="14" t="n">
        <x:v>0</x:v>
      </x:c>
      <x:c r="M479" s="12" t="n">
        <x:f>IF(H479="Completed",I479*J479*(1-L479),0)</x:f>
        <x:v>1130.76</x:v>
      </x:c>
      <x:c r="N479" s="12" t="n">
        <x:f>IF(H479="Completed",I479*K479,0)</x:f>
        <x:v>667.96</x:v>
      </x:c>
      <x:c r="O479" s="12" t="n">
        <x:f>M479-N479</x:f>
        <x:v>462.79999999999995</x:v>
      </x:c>
      <x:c r="P479" s="16" t="n">
        <x:f>IFERROR(O479/M479,0)</x:f>
        <x:v>0.40928225264423923</x:v>
      </x:c>
      <x:c r="Q479" t="n">
        <x:f>YEAR(B479)</x:f>
        <x:v>2025</x:v>
      </x:c>
      <x:c r="R479" t="str">
        <x:f>TEXT(B479,"yyyy-mm")</x:f>
        <x:v>2025-04</x:v>
      </x:c>
    </x:row>
    <x:row r="480">
      <x:c r="A480" t="n">
        <x:v>10013</x:v>
      </x:c>
      <x:c r="B480" s="10" t="n">
        <x:v>45771</x:v>
      </x:c>
      <x:c r="C480" t="str">
        <x:v>P005</x:v>
      </x:c>
      <x:c r="D480" t="str">
        <x:v>Desk</x:v>
      </x:c>
      <x:c r="E480" t="str">
        <x:v>Furniture</x:v>
      </x:c>
      <x:c r="F480" t="str">
        <x:v>South</x:v>
      </x:c>
      <x:c r="G480" t="str">
        <x:v>Online</x:v>
      </x:c>
      <x:c r="H480" t="str">
        <x:v>Cancelled</x:v>
      </x:c>
      <x:c r="I480" t="n">
        <x:v>1</x:v>
      </x:c>
      <x:c r="J480" s="12" t="n">
        <x:v>281.55</x:v>
      </x:c>
      <x:c r="K480" s="12" t="n">
        <x:v>154.54</x:v>
      </x:c>
      <x:c r="L480" s="14" t="n">
        <x:v>0</x:v>
      </x:c>
      <x:c r="M480" s="12" t="n">
        <x:f>IF(H480="Completed",I480*J480*(1-L480),0)</x:f>
        <x:v>0</x:v>
      </x:c>
      <x:c r="N480" s="12" t="n">
        <x:f>IF(H480="Completed",I480*K480,0)</x:f>
        <x:v>0</x:v>
      </x:c>
      <x:c r="O480" s="12" t="n">
        <x:f>M480-N480</x:f>
        <x:v>0</x:v>
      </x:c>
      <x:c r="P480" s="16" t="n">
        <x:f>IFERROR(O480/M480,0)</x:f>
        <x:v>0</x:v>
      </x:c>
      <x:c r="Q480" t="n">
        <x:f>YEAR(B480)</x:f>
        <x:v>2025</x:v>
      </x:c>
      <x:c r="R480" t="str">
        <x:f>TEXT(B480,"yyyy-mm")</x:f>
        <x:v>2025-04</x:v>
      </x:c>
    </x:row>
    <x:row r="481">
      <x:c r="A481" t="n">
        <x:v>10668</x:v>
      </x:c>
      <x:c r="B481" s="10" t="n">
        <x:v>45772</x:v>
      </x:c>
      <x:c r="C481" t="str">
        <x:v>P006</x:v>
      </x:c>
      <x:c r="D481" t="str">
        <x:v>Chair</x:v>
      </x:c>
      <x:c r="E481" t="str">
        <x:v>Furniture</x:v>
      </x:c>
      <x:c r="F481" t="str">
        <x:v>Midlands</x:v>
      </x:c>
      <x:c r="G481" t="str">
        <x:v>Partner</x:v>
      </x:c>
      <x:c r="H481" t="str">
        <x:v>Completed</x:v>
      </x:c>
      <x:c r="I481" t="n">
        <x:v>4</x:v>
      </x:c>
      <x:c r="J481" s="12" t="n">
        <x:v>132.53</x:v>
      </x:c>
      <x:c r="K481" s="12" t="n">
        <x:v>69</x:v>
      </x:c>
      <x:c r="L481" s="14" t="n">
        <x:v>0</x:v>
      </x:c>
      <x:c r="M481" s="12" t="n">
        <x:f>IF(H481="Completed",I481*J481*(1-L481),0)</x:f>
        <x:v>530.12</x:v>
      </x:c>
      <x:c r="N481" s="12" t="n">
        <x:f>IF(H481="Completed",I481*K481,0)</x:f>
        <x:v>276</x:v>
      </x:c>
      <x:c r="O481" s="12" t="n">
        <x:f>M481-N481</x:f>
        <x:v>254.12</x:v>
      </x:c>
      <x:c r="P481" s="16" t="n">
        <x:f>IFERROR(O481/M481,0)</x:f>
        <x:v>0.479363163057421</x:v>
      </x:c>
      <x:c r="Q481" t="n">
        <x:f>YEAR(B481)</x:f>
        <x:v>2025</x:v>
      </x:c>
      <x:c r="R481" t="str">
        <x:f>TEXT(B481,"yyyy-mm")</x:f>
        <x:v>2025-04</x:v>
      </x:c>
    </x:row>
    <x:row r="482">
      <x:c r="A482" t="n">
        <x:v>10782</x:v>
      </x:c>
      <x:c r="B482" s="10" t="n">
        <x:v>45773</x:v>
      </x:c>
      <x:c r="C482" t="str">
        <x:v>P008</x:v>
      </x:c>
      <x:c r="D482" t="str">
        <x:v>Webcam</x:v>
      </x:c>
      <x:c r="E482" t="str">
        <x:v>Electronics</x:v>
      </x:c>
      <x:c r="F482" t="str">
        <x:v>South</x:v>
      </x:c>
      <x:c r="G482" t="str">
        <x:v>Online</x:v>
      </x:c>
      <x:c r="H482" t="str">
        <x:v>Completed</x:v>
      </x:c>
      <x:c r="I482" t="n">
        <x:v>2</x:v>
      </x:c>
      <x:c r="J482" s="12" t="n">
        <x:v>92.38</x:v>
      </x:c>
      <x:c r="K482" s="12" t="n">
        <x:v>42.46</x:v>
      </x:c>
      <x:c r="L482" s="14" t="n">
        <x:v>0.1</x:v>
      </x:c>
      <x:c r="M482" s="12" t="n">
        <x:f>IF(H482="Completed",I482*J482*(1-L482),0)</x:f>
        <x:v>166.284</x:v>
      </x:c>
      <x:c r="N482" s="12" t="n">
        <x:f>IF(H482="Completed",I482*K482,0)</x:f>
        <x:v>84.92</x:v>
      </x:c>
      <x:c r="O482" s="12" t="n">
        <x:f>M482-N482</x:f>
        <x:v>81.36399999999999</x:v>
      </x:c>
      <x:c r="P482" s="16" t="n">
        <x:f>IFERROR(O482/M482,0)</x:f>
        <x:v>0.4893074499049818</x:v>
      </x:c>
      <x:c r="Q482" t="n">
        <x:f>YEAR(B482)</x:f>
        <x:v>2025</x:v>
      </x:c>
      <x:c r="R482" t="str">
        <x:f>TEXT(B482,"yyyy-mm")</x:f>
        <x:v>2025-04</x:v>
      </x:c>
    </x:row>
    <x:row r="483">
      <x:c r="A483" t="n">
        <x:v>10220</x:v>
      </x:c>
      <x:c r="B483" s="10" t="n">
        <x:v>45774</x:v>
      </x:c>
      <x:c r="C483" t="str">
        <x:v>P001</x:v>
      </x:c>
      <x:c r="D483" t="str">
        <x:v>Laptop</x:v>
      </x:c>
      <x:c r="E483" t="str">
        <x:v>Electronics</x:v>
      </x:c>
      <x:c r="F483" t="str">
        <x:v>South</x:v>
      </x:c>
      <x:c r="G483" t="str">
        <x:v>Retail</x:v>
      </x:c>
      <x:c r="H483" t="str">
        <x:v>Completed</x:v>
      </x:c>
      <x:c r="I483" t="n">
        <x:v>2</x:v>
      </x:c>
      <x:c r="J483" s="12" t="n">
        <x:v>916.67</x:v>
      </x:c>
      <x:c r="K483" s="12" t="n">
        <x:v>637.26</x:v>
      </x:c>
      <x:c r="L483" s="14" t="n">
        <x:v>0.1</x:v>
      </x:c>
      <x:c r="M483" s="12" t="n">
        <x:f>IF(H483="Completed",I483*J483*(1-L483),0)</x:f>
        <x:v>1650.0059999999999</x:v>
      </x:c>
      <x:c r="N483" s="12" t="n">
        <x:f>IF(H483="Completed",I483*K483,0)</x:f>
        <x:v>1274.52</x:v>
      </x:c>
      <x:c r="O483" s="12" t="n">
        <x:f>M483-N483</x:f>
        <x:v>375.4859999999999</x:v>
      </x:c>
      <x:c r="P483" s="16" t="n">
        <x:f>IFERROR(O483/M483,0)</x:f>
        <x:v>0.22756644521292643</x:v>
      </x:c>
      <x:c r="Q483" t="n">
        <x:f>YEAR(B483)</x:f>
        <x:v>2025</x:v>
      </x:c>
      <x:c r="R483" t="str">
        <x:f>TEXT(B483,"yyyy-mm")</x:f>
        <x:v>2025-04</x:v>
      </x:c>
    </x:row>
    <x:row r="484">
      <x:c r="A484" t="n">
        <x:v>10331</x:v>
      </x:c>
      <x:c r="B484" s="10" t="n">
        <x:v>45774</x:v>
      </x:c>
      <x:c r="C484" t="str">
        <x:v>P002</x:v>
      </x:c>
      <x:c r="D484" t="str">
        <x:v>Monitor</x:v>
      </x:c>
      <x:c r="E484" t="str">
        <x:v>Electronics</x:v>
      </x:c>
      <x:c r="F484" t="str">
        <x:v>South</x:v>
      </x:c>
      <x:c r="G484" t="str">
        <x:v>Online</x:v>
      </x:c>
      <x:c r="H484" t="str">
        <x:v>Completed</x:v>
      </x:c>
      <x:c r="I484" t="n">
        <x:v>1</x:v>
      </x:c>
      <x:c r="J484" s="12" t="n">
        <x:v>294.86</x:v>
      </x:c>
      <x:c r="K484" s="12" t="n">
        <x:v>174.66</x:v>
      </x:c>
      <x:c r="L484" s="14" t="n">
        <x:v>0</x:v>
      </x:c>
      <x:c r="M484" s="12" t="n">
        <x:f>IF(H484="Completed",I484*J484*(1-L484),0)</x:f>
        <x:v>294.86</x:v>
      </x:c>
      <x:c r="N484" s="12" t="n">
        <x:f>IF(H484="Completed",I484*K484,0)</x:f>
        <x:v>174.66</x:v>
      </x:c>
      <x:c r="O484" s="12" t="n">
        <x:f>M484-N484</x:f>
        <x:v>120.20000000000002</x:v>
      </x:c>
      <x:c r="P484" s="16" t="n">
        <x:f>IFERROR(O484/M484,0)</x:f>
        <x:v>0.40765108865224176</x:v>
      </x:c>
      <x:c r="Q484" t="n">
        <x:f>YEAR(B484)</x:f>
        <x:v>2025</x:v>
      </x:c>
      <x:c r="R484" t="str">
        <x:f>TEXT(B484,"yyyy-mm")</x:f>
        <x:v>2025-04</x:v>
      </x:c>
    </x:row>
    <x:row r="485">
      <x:c r="A485" t="n">
        <x:v>10068</x:v>
      </x:c>
      <x:c r="B485" s="10" t="n">
        <x:v>45776</x:v>
      </x:c>
      <x:c r="C485" t="str">
        <x:v>P002</x:v>
      </x:c>
      <x:c r="D485" t="str">
        <x:v>Monitor</x:v>
      </x:c>
      <x:c r="E485" t="str">
        <x:v>Electronics</x:v>
      </x:c>
      <x:c r="F485" t="str">
        <x:v>South</x:v>
      </x:c>
      <x:c r="G485" t="str">
        <x:v>Online</x:v>
      </x:c>
      <x:c r="H485" t="str">
        <x:v>Completed</x:v>
      </x:c>
      <x:c r="I485" t="n">
        <x:v>2</x:v>
      </x:c>
      <x:c r="J485" s="12" t="n">
        <x:v>288.54</x:v>
      </x:c>
      <x:c r="K485" s="12" t="n">
        <x:v>174.79</x:v>
      </x:c>
      <x:c r="L485" s="14" t="n">
        <x:v>0</x:v>
      </x:c>
      <x:c r="M485" s="12" t="n">
        <x:f>IF(H485="Completed",I485*J485*(1-L485),0)</x:f>
        <x:v>577.08</x:v>
      </x:c>
      <x:c r="N485" s="12" t="n">
        <x:f>IF(H485="Completed",I485*K485,0)</x:f>
        <x:v>349.58</x:v>
      </x:c>
      <x:c r="O485" s="12" t="n">
        <x:f>M485-N485</x:f>
        <x:v>227.50000000000006</x:v>
      </x:c>
      <x:c r="P485" s="16" t="n">
        <x:f>IFERROR(O485/M485,0)</x:f>
        <x:v>0.3942261038330908</x:v>
      </x:c>
      <x:c r="Q485" t="n">
        <x:f>YEAR(B485)</x:f>
        <x:v>2025</x:v>
      </x:c>
      <x:c r="R485" t="str">
        <x:f>TEXT(B485,"yyyy-mm")</x:f>
        <x:v>2025-04</x:v>
      </x:c>
    </x:row>
    <x:row r="486">
      <x:c r="A486" t="n">
        <x:v>10444</x:v>
      </x:c>
      <x:c r="B486" s="10" t="n">
        <x:v>45776</x:v>
      </x:c>
      <x:c r="C486" t="str">
        <x:v>P006</x:v>
      </x:c>
      <x:c r="D486" t="str">
        <x:v>Chair</x:v>
      </x:c>
      <x:c r="E486" t="str">
        <x:v>Furniture</x:v>
      </x:c>
      <x:c r="F486" t="str">
        <x:v>North</x:v>
      </x:c>
      <x:c r="G486" t="str">
        <x:v>Retail</x:v>
      </x:c>
      <x:c r="H486" t="str">
        <x:v>Completed</x:v>
      </x:c>
      <x:c r="I486" t="n">
        <x:v>4</x:v>
      </x:c>
      <x:c r="J486" s="12" t="n">
        <x:v>134.18</x:v>
      </x:c>
      <x:c r="K486" s="12" t="n">
        <x:v>69.46</x:v>
      </x:c>
      <x:c r="L486" s="14" t="n">
        <x:v>0</x:v>
      </x:c>
      <x:c r="M486" s="12" t="n">
        <x:f>IF(H486="Completed",I486*J486*(1-L486),0)</x:f>
        <x:v>536.72</x:v>
      </x:c>
      <x:c r="N486" s="12" t="n">
        <x:f>IF(H486="Completed",I486*K486,0)</x:f>
        <x:v>277.84</x:v>
      </x:c>
      <x:c r="O486" s="12" t="n">
        <x:f>M486-N486</x:f>
        <x:v>258.88000000000005</x:v>
      </x:c>
      <x:c r="P486" s="16" t="n">
        <x:f>IFERROR(O486/M486,0)</x:f>
        <x:v>0.48233715904009544</x:v>
      </x:c>
      <x:c r="Q486" t="n">
        <x:f>YEAR(B486)</x:f>
        <x:v>2025</x:v>
      </x:c>
      <x:c r="R486" t="str">
        <x:f>TEXT(B486,"yyyy-mm")</x:f>
        <x:v>2025-04</x:v>
      </x:c>
    </x:row>
    <x:row r="487">
      <x:c r="A487" t="n">
        <x:v>10676</x:v>
      </x:c>
      <x:c r="B487" s="10" t="n">
        <x:v>45777</x:v>
      </x:c>
      <x:c r="C487" t="str">
        <x:v>P005</x:v>
      </x:c>
      <x:c r="D487" t="str">
        <x:v>Desk</x:v>
      </x:c>
      <x:c r="E487" t="str">
        <x:v>Furniture</x:v>
      </x:c>
      <x:c r="F487" t="str">
        <x:v>South</x:v>
      </x:c>
      <x:c r="G487" t="str">
        <x:v>Online</x:v>
      </x:c>
      <x:c r="H487" t="str">
        <x:v>Completed</x:v>
      </x:c>
      <x:c r="I487" t="n">
        <x:v>2</x:v>
      </x:c>
      <x:c r="J487" s="12" t="n">
        <x:v>274.1</x:v>
      </x:c>
      <x:c r="K487" s="12" t="n">
        <x:v>154.35</x:v>
      </x:c>
      <x:c r="L487" s="14" t="n">
        <x:v>0.05</x:v>
      </x:c>
      <x:c r="M487" s="12" t="n">
        <x:f>IF(H487="Completed",I487*J487*(1-L487),0)</x:f>
        <x:v>520.79</x:v>
      </x:c>
      <x:c r="N487" s="12" t="n">
        <x:f>IF(H487="Completed",I487*K487,0)</x:f>
        <x:v>308.7</x:v>
      </x:c>
      <x:c r="O487" s="12" t="n">
        <x:f>M487-N487</x:f>
        <x:v>212.08999999999997</x:v>
      </x:c>
      <x:c r="P487" s="16" t="n">
        <x:f>IFERROR(O487/M487,0)</x:f>
        <x:v>0.4072466829240193</x:v>
      </x:c>
      <x:c r="Q487" t="n">
        <x:f>YEAR(B487)</x:f>
        <x:v>2025</x:v>
      </x:c>
      <x:c r="R487" t="str">
        <x:f>TEXT(B487,"yyyy-mm")</x:f>
        <x:v>2025-04</x:v>
      </x:c>
    </x:row>
    <x:row r="488">
      <x:c r="A488" t="n">
        <x:v>10216</x:v>
      </x:c>
      <x:c r="B488" s="10" t="n">
        <x:v>45778</x:v>
      </x:c>
      <x:c r="C488" t="str">
        <x:v>P001</x:v>
      </x:c>
      <x:c r="D488" t="str">
        <x:v>Laptop</x:v>
      </x:c>
      <x:c r="E488" t="str">
        <x:v>Electronics</x:v>
      </x:c>
      <x:c r="F488" t="str">
        <x:v>Midlands</x:v>
      </x:c>
      <x:c r="G488" t="str">
        <x:v>Online</x:v>
      </x:c>
      <x:c r="H488" t="str">
        <x:v>Completed</x:v>
      </x:c>
      <x:c r="I488" t="n">
        <x:v>3</x:v>
      </x:c>
      <x:c r="J488" s="12" t="n">
        <x:v>912.21</x:v>
      </x:c>
      <x:c r="K488" s="12" t="n">
        <x:v>635.46</x:v>
      </x:c>
      <x:c r="L488" s="14" t="n">
        <x:v>0.1</x:v>
      </x:c>
      <x:c r="M488" s="12" t="n">
        <x:f>IF(H488="Completed",I488*J488*(1-L488),0)</x:f>
        <x:v>2462.967</x:v>
      </x:c>
      <x:c r="N488" s="12" t="n">
        <x:f>IF(H488="Completed",I488*K488,0)</x:f>
        <x:v>1906.38</x:v>
      </x:c>
      <x:c r="O488" s="12" t="n">
        <x:f>M488-N488</x:f>
        <x:v>556.587</x:v>
      </x:c>
      <x:c r="P488" s="16" t="n">
        <x:f>IFERROR(O488/M488,0)</x:f>
        <x:v>0.22598232132221016</x:v>
      </x:c>
      <x:c r="Q488" t="n">
        <x:f>YEAR(B488)</x:f>
        <x:v>2025</x:v>
      </x:c>
      <x:c r="R488" t="str">
        <x:f>TEXT(B488,"yyyy-mm")</x:f>
        <x:v>2025-05</x:v>
      </x:c>
    </x:row>
    <x:row r="489">
      <x:c r="A489" t="n">
        <x:v>10238</x:v>
      </x:c>
      <x:c r="B489" s="10" t="n">
        <x:v>45781</x:v>
      </x:c>
      <x:c r="C489" t="str">
        <x:v>P003</x:v>
      </x:c>
      <x:c r="D489" t="str">
        <x:v>Keyboard</x:v>
      </x:c>
      <x:c r="E489" t="str">
        <x:v>Accessories</x:v>
      </x:c>
      <x:c r="F489" t="str">
        <x:v>Scotland</x:v>
      </x:c>
      <x:c r="G489" t="str">
        <x:v>Retail</x:v>
      </x:c>
      <x:c r="H489" t="str">
        <x:v>Completed</x:v>
      </x:c>
      <x:c r="I489" t="n">
        <x:v>4</x:v>
      </x:c>
      <x:c r="J489" s="12" t="n">
        <x:v>49.41</x:v>
      </x:c>
      <x:c r="K489" s="12" t="n">
        <x:v>26.09</x:v>
      </x:c>
      <x:c r="L489" s="14" t="n">
        <x:v>0.15</x:v>
      </x:c>
      <x:c r="M489" s="12" t="n">
        <x:f>IF(H489="Completed",I489*J489*(1-L489),0)</x:f>
        <x:v>167.99399999999997</x:v>
      </x:c>
      <x:c r="N489" s="12" t="n">
        <x:f>IF(H489="Completed",I489*K489,0)</x:f>
        <x:v>104.36</x:v>
      </x:c>
      <x:c r="O489" s="12" t="n">
        <x:f>M489-N489</x:f>
        <x:v>63.63399999999997</x:v>
      </x:c>
      <x:c r="P489" s="16" t="n">
        <x:f>IFERROR(O489/M489,0)</x:f>
        <x:v>0.378787337643011</x:v>
      </x:c>
      <x:c r="Q489" t="n">
        <x:f>YEAR(B489)</x:f>
        <x:v>2025</x:v>
      </x:c>
      <x:c r="R489" t="str">
        <x:f>TEXT(B489,"yyyy-mm")</x:f>
        <x:v>2025-05</x:v>
      </x:c>
    </x:row>
    <x:row r="490">
      <x:c r="A490" t="n">
        <x:v>10218</x:v>
      </x:c>
      <x:c r="B490" s="10" t="n">
        <x:v>45783</x:v>
      </x:c>
      <x:c r="C490" t="str">
        <x:v>P003</x:v>
      </x:c>
      <x:c r="D490" t="str">
        <x:v>Keyboard</x:v>
      </x:c>
      <x:c r="E490" t="str">
        <x:v>Accessories</x:v>
      </x:c>
      <x:c r="F490" t="str">
        <x:v>North</x:v>
      </x:c>
      <x:c r="G490" t="str">
        <x:v>Retail</x:v>
      </x:c>
      <x:c r="H490" t="str">
        <x:v>Completed</x:v>
      </x:c>
      <x:c r="I490" t="n">
        <x:v>4</x:v>
      </x:c>
      <x:c r="J490" s="12" t="n">
        <x:v>50.78</x:v>
      </x:c>
      <x:c r="K490" s="12" t="n">
        <x:v>25.62</x:v>
      </x:c>
      <x:c r="L490" s="14" t="n">
        <x:v>0.1</x:v>
      </x:c>
      <x:c r="M490" s="12" t="n">
        <x:f>IF(H490="Completed",I490*J490*(1-L490),0)</x:f>
        <x:v>182.80800000000002</x:v>
      </x:c>
      <x:c r="N490" s="12" t="n">
        <x:f>IF(H490="Completed",I490*K490,0)</x:f>
        <x:v>102.48</x:v>
      </x:c>
      <x:c r="O490" s="12" t="n">
        <x:f>M490-N490</x:f>
        <x:v>80.32800000000002</x:v>
      </x:c>
      <x:c r="P490" s="16" t="n">
        <x:f>IFERROR(O490/M490,0)</x:f>
        <x:v>0.4394118419325194</x:v>
      </x:c>
      <x:c r="Q490" t="n">
        <x:f>YEAR(B490)</x:f>
        <x:v>2025</x:v>
      </x:c>
      <x:c r="R490" t="str">
        <x:f>TEXT(B490,"yyyy-mm")</x:f>
        <x:v>2025-05</x:v>
      </x:c>
    </x:row>
    <x:row r="491">
      <x:c r="A491" t="n">
        <x:v>10720</x:v>
      </x:c>
      <x:c r="B491" s="10" t="n">
        <x:v>45783</x:v>
      </x:c>
      <x:c r="C491" t="str">
        <x:v>P005</x:v>
      </x:c>
      <x:c r="D491" t="str">
        <x:v>Desk</x:v>
      </x:c>
      <x:c r="E491" t="str">
        <x:v>Furniture</x:v>
      </x:c>
      <x:c r="F491" t="str">
        <x:v>South</x:v>
      </x:c>
      <x:c r="G491" t="str">
        <x:v>Partner</x:v>
      </x:c>
      <x:c r="H491" t="str">
        <x:v>Cancelled</x:v>
      </x:c>
      <x:c r="I491" t="n">
        <x:v>2</x:v>
      </x:c>
      <x:c r="J491" s="12" t="n">
        <x:v>285.55</x:v>
      </x:c>
      <x:c r="K491" s="12" t="n">
        <x:v>155.49</x:v>
      </x:c>
      <x:c r="L491" s="14" t="n">
        <x:v>0</x:v>
      </x:c>
      <x:c r="M491" s="12" t="n">
        <x:f>IF(H491="Completed",I491*J491*(1-L491),0)</x:f>
        <x:v>0</x:v>
      </x:c>
      <x:c r="N491" s="12" t="n">
        <x:f>IF(H491="Completed",I491*K491,0)</x:f>
        <x:v>0</x:v>
      </x:c>
      <x:c r="O491" s="12" t="n">
        <x:f>M491-N491</x:f>
        <x:v>0</x:v>
      </x:c>
      <x:c r="P491" s="16" t="n">
        <x:f>IFERROR(O491/M491,0)</x:f>
        <x:v>0</x:v>
      </x:c>
      <x:c r="Q491" t="n">
        <x:f>YEAR(B491)</x:f>
        <x:v>2025</x:v>
      </x:c>
      <x:c r="R491" t="str">
        <x:f>TEXT(B491,"yyyy-mm")</x:f>
        <x:v>2025-05</x:v>
      </x:c>
    </x:row>
    <x:row r="492">
      <x:c r="A492" t="n">
        <x:v>10438</x:v>
      </x:c>
      <x:c r="B492" s="10" t="n">
        <x:v>45785</x:v>
      </x:c>
      <x:c r="C492" t="str">
        <x:v>P006</x:v>
      </x:c>
      <x:c r="D492" t="str">
        <x:v>Chair</x:v>
      </x:c>
      <x:c r="E492" t="str">
        <x:v>Furniture</x:v>
      </x:c>
      <x:c r="F492" t="str">
        <x:v>North</x:v>
      </x:c>
      <x:c r="G492" t="str">
        <x:v>Retail</x:v>
      </x:c>
      <x:c r="H492" t="str">
        <x:v>Cancelled</x:v>
      </x:c>
      <x:c r="I492" t="n">
        <x:v>4</x:v>
      </x:c>
      <x:c r="J492" s="12" t="n">
        <x:v>131.06</x:v>
      </x:c>
      <x:c r="K492" s="12" t="n">
        <x:v>69.82</x:v>
      </x:c>
      <x:c r="L492" s="14" t="n">
        <x:v>0</x:v>
      </x:c>
      <x:c r="M492" s="12" t="n">
        <x:f>IF(H492="Completed",I492*J492*(1-L492),0)</x:f>
        <x:v>0</x:v>
      </x:c>
      <x:c r="N492" s="12" t="n">
        <x:f>IF(H492="Completed",I492*K492,0)</x:f>
        <x:v>0</x:v>
      </x:c>
      <x:c r="O492" s="12" t="n">
        <x:f>M492-N492</x:f>
        <x:v>0</x:v>
      </x:c>
      <x:c r="P492" s="16" t="n">
        <x:f>IFERROR(O492/M492,0)</x:f>
        <x:v>0</x:v>
      </x:c>
      <x:c r="Q492" t="n">
        <x:f>YEAR(B492)</x:f>
        <x:v>2025</x:v>
      </x:c>
      <x:c r="R492" t="str">
        <x:f>TEXT(B492,"yyyy-mm")</x:f>
        <x:v>2025-05</x:v>
      </x:c>
    </x:row>
    <x:row r="493">
      <x:c r="A493" t="n">
        <x:v>10633</x:v>
      </x:c>
      <x:c r="B493" s="10" t="n">
        <x:v>45785</x:v>
      </x:c>
      <x:c r="C493" t="str">
        <x:v>P003</x:v>
      </x:c>
      <x:c r="D493" t="str">
        <x:v>Keyboard</x:v>
      </x:c>
      <x:c r="E493" t="str">
        <x:v>Accessories</x:v>
      </x:c>
      <x:c r="F493" t="str">
        <x:v>Wales</x:v>
      </x:c>
      <x:c r="G493" t="str">
        <x:v>Online</x:v>
      </x:c>
      <x:c r="H493" t="str">
        <x:v>Completed</x:v>
      </x:c>
      <x:c r="I493" t="n">
        <x:v>4</x:v>
      </x:c>
      <x:c r="J493" s="12" t="n">
        <x:v>50.22</x:v>
      </x:c>
      <x:c r="K493" s="12" t="n">
        <x:v>26.02</x:v>
      </x:c>
      <x:c r="L493" s="14" t="n">
        <x:v>0.05</x:v>
      </x:c>
      <x:c r="M493" s="12" t="n">
        <x:f>IF(H493="Completed",I493*J493*(1-L493),0)</x:f>
        <x:v>190.83599999999998</x:v>
      </x:c>
      <x:c r="N493" s="12" t="n">
        <x:f>IF(H493="Completed",I493*K493,0)</x:f>
        <x:v>104.08</x:v>
      </x:c>
      <x:c r="O493" s="12" t="n">
        <x:f>M493-N493</x:f>
        <x:v>86.75599999999999</x:v>
      </x:c>
      <x:c r="P493" s="16" t="n">
        <x:f>IFERROR(O493/M493,0)</x:f>
        <x:v>0.45461024125427063</x:v>
      </x:c>
      <x:c r="Q493" t="n">
        <x:f>YEAR(B493)</x:f>
        <x:v>2025</x:v>
      </x:c>
      <x:c r="R493" t="str">
        <x:f>TEXT(B493,"yyyy-mm")</x:f>
        <x:v>2025-05</x:v>
      </x:c>
    </x:row>
    <x:row r="494">
      <x:c r="A494" t="n">
        <x:v>10652</x:v>
      </x:c>
      <x:c r="B494" s="10" t="n">
        <x:v>45785</x:v>
      </x:c>
      <x:c r="C494" t="str">
        <x:v>P007</x:v>
      </x:c>
      <x:c r="D494" t="str">
        <x:v>Headset</x:v>
      </x:c>
      <x:c r="E494" t="str">
        <x:v>Accessories</x:v>
      </x:c>
      <x:c r="F494" t="str">
        <x:v>Midlands</x:v>
      </x:c>
      <x:c r="G494" t="str">
        <x:v>Retail</x:v>
      </x:c>
      <x:c r="H494" t="str">
        <x:v>Cancelled</x:v>
      </x:c>
      <x:c r="I494" t="n">
        <x:v>1</x:v>
      </x:c>
      <x:c r="J494" s="12" t="n">
        <x:v>73.79</x:v>
      </x:c>
      <x:c r="K494" s="12" t="n">
        <x:v>35.06</x:v>
      </x:c>
      <x:c r="L494" s="14" t="n">
        <x:v>0.05</x:v>
      </x:c>
      <x:c r="M494" s="12" t="n">
        <x:f>IF(H494="Completed",I494*J494*(1-L494),0)</x:f>
        <x:v>0</x:v>
      </x:c>
      <x:c r="N494" s="12" t="n">
        <x:f>IF(H494="Completed",I494*K494,0)</x:f>
        <x:v>0</x:v>
      </x:c>
      <x:c r="O494" s="12" t="n">
        <x:f>M494-N494</x:f>
        <x:v>0</x:v>
      </x:c>
      <x:c r="P494" s="16" t="n">
        <x:f>IFERROR(O494/M494,0)</x:f>
        <x:v>0</x:v>
      </x:c>
      <x:c r="Q494" t="n">
        <x:f>YEAR(B494)</x:f>
        <x:v>2025</x:v>
      </x:c>
      <x:c r="R494" t="str">
        <x:f>TEXT(B494,"yyyy-mm")</x:f>
        <x:v>2025-05</x:v>
      </x:c>
    </x:row>
    <x:row r="495">
      <x:c r="A495" t="n">
        <x:v>10100</x:v>
      </x:c>
      <x:c r="B495" s="10" t="n">
        <x:v>45786</x:v>
      </x:c>
      <x:c r="C495" t="str">
        <x:v>P008</x:v>
      </x:c>
      <x:c r="D495" t="str">
        <x:v>Webcam</x:v>
      </x:c>
      <x:c r="E495" t="str">
        <x:v>Electronics</x:v>
      </x:c>
      <x:c r="F495" t="str">
        <x:v>Midlands</x:v>
      </x:c>
      <x:c r="G495" t="str">
        <x:v>Online</x:v>
      </x:c>
      <x:c r="H495" t="str">
        <x:v>Completed</x:v>
      </x:c>
      <x:c r="I495" t="n">
        <x:v>2</x:v>
      </x:c>
      <x:c r="J495" s="12" t="n">
        <x:v>89.5</x:v>
      </x:c>
      <x:c r="K495" s="12" t="n">
        <x:v>43.01</x:v>
      </x:c>
      <x:c r="L495" s="14" t="n">
        <x:v>0.1</x:v>
      </x:c>
      <x:c r="M495" s="12" t="n">
        <x:f>IF(H495="Completed",I495*J495*(1-L495),0)</x:f>
        <x:v>161.1</x:v>
      </x:c>
      <x:c r="N495" s="12" t="n">
        <x:f>IF(H495="Completed",I495*K495,0)</x:f>
        <x:v>86.02</x:v>
      </x:c>
      <x:c r="O495" s="12" t="n">
        <x:f>M495-N495</x:f>
        <x:v>75.08</x:v>
      </x:c>
      <x:c r="P495" s="16" t="n">
        <x:f>IFERROR(O495/M495,0)</x:f>
        <x:v>0.4660459342023588</x:v>
      </x:c>
      <x:c r="Q495" t="n">
        <x:f>YEAR(B495)</x:f>
        <x:v>2025</x:v>
      </x:c>
      <x:c r="R495" t="str">
        <x:f>TEXT(B495,"yyyy-mm")</x:f>
        <x:v>2025-05</x:v>
      </x:c>
    </x:row>
    <x:row r="496">
      <x:c r="A496" t="n">
        <x:v>10063</x:v>
      </x:c>
      <x:c r="B496" s="10" t="n">
        <x:v>45789</x:v>
      </x:c>
      <x:c r="C496" t="str">
        <x:v>P001</x:v>
      </x:c>
      <x:c r="D496" t="str">
        <x:v>Laptop</x:v>
      </x:c>
      <x:c r="E496" t="str">
        <x:v>Electronics</x:v>
      </x:c>
      <x:c r="F496" t="str">
        <x:v>Midlands</x:v>
      </x:c>
      <x:c r="G496" t="str">
        <x:v>Retail</x:v>
      </x:c>
      <x:c r="H496" t="str">
        <x:v>Completed</x:v>
      </x:c>
      <x:c r="I496" t="n">
        <x:v>4</x:v>
      </x:c>
      <x:c r="J496" s="12" t="n">
        <x:v>903.03</x:v>
      </x:c>
      <x:c r="K496" s="12" t="n">
        <x:v>622.09</x:v>
      </x:c>
      <x:c r="L496" s="14" t="n">
        <x:v>0.15</x:v>
      </x:c>
      <x:c r="M496" s="12" t="n">
        <x:f>IF(H496="Completed",I496*J496*(1-L496),0)</x:f>
        <x:v>3070.3019999999997</x:v>
      </x:c>
      <x:c r="N496" s="12" t="n">
        <x:f>IF(H496="Completed",I496*K496,0)</x:f>
        <x:v>2488.36</x:v>
      </x:c>
      <x:c r="O496" s="12" t="n">
        <x:f>M496-N496</x:f>
        <x:v>581.9419999999996</x:v>
      </x:c>
      <x:c r="P496" s="16" t="n">
        <x:f>IFERROR(O496/M496,0)</x:f>
        <x:v>0.1895390095176304</x:v>
      </x:c>
      <x:c r="Q496" t="n">
        <x:f>YEAR(B496)</x:f>
        <x:v>2025</x:v>
      </x:c>
      <x:c r="R496" t="str">
        <x:f>TEXT(B496,"yyyy-mm")</x:f>
        <x:v>2025-05</x:v>
      </x:c>
    </x:row>
    <x:row r="497">
      <x:c r="A497" t="n">
        <x:v>10480</x:v>
      </x:c>
      <x:c r="B497" s="10" t="n">
        <x:v>45789</x:v>
      </x:c>
      <x:c r="C497" t="str">
        <x:v>P008</x:v>
      </x:c>
      <x:c r="D497" t="str">
        <x:v>Webcam</x:v>
      </x:c>
      <x:c r="E497" t="str">
        <x:v>Electronics</x:v>
      </x:c>
      <x:c r="F497" t="str">
        <x:v>South</x:v>
      </x:c>
      <x:c r="G497" t="str">
        <x:v>Online</x:v>
      </x:c>
      <x:c r="H497" t="str">
        <x:v>Cancelled</x:v>
      </x:c>
      <x:c r="I497" t="n">
        <x:v>3</x:v>
      </x:c>
      <x:c r="J497" s="12" t="n">
        <x:v>89.85</x:v>
      </x:c>
      <x:c r="K497" s="12" t="n">
        <x:v>41.93</x:v>
      </x:c>
      <x:c r="L497" s="14" t="n">
        <x:v>0</x:v>
      </x:c>
      <x:c r="M497" s="12" t="n">
        <x:f>IF(H497="Completed",I497*J497*(1-L497),0)</x:f>
        <x:v>0</x:v>
      </x:c>
      <x:c r="N497" s="12" t="n">
        <x:f>IF(H497="Completed",I497*K497,0)</x:f>
        <x:v>0</x:v>
      </x:c>
      <x:c r="O497" s="12" t="n">
        <x:f>M497-N497</x:f>
        <x:v>0</x:v>
      </x:c>
      <x:c r="P497" s="16" t="n">
        <x:f>IFERROR(O497/M497,0)</x:f>
        <x:v>0</x:v>
      </x:c>
      <x:c r="Q497" t="n">
        <x:f>YEAR(B497)</x:f>
        <x:v>2025</x:v>
      </x:c>
      <x:c r="R497" t="str">
        <x:f>TEXT(B497,"yyyy-mm")</x:f>
        <x:v>2025-05</x:v>
      </x:c>
    </x:row>
    <x:row r="498">
      <x:c r="A498" t="n">
        <x:v>10371</x:v>
      </x:c>
      <x:c r="B498" s="10" t="n">
        <x:v>45790</x:v>
      </x:c>
      <x:c r="C498" t="str">
        <x:v>P006</x:v>
      </x:c>
      <x:c r="D498" t="str">
        <x:v>Chair</x:v>
      </x:c>
      <x:c r="E498" t="str">
        <x:v>Furniture</x:v>
      </x:c>
      <x:c r="F498" t="str">
        <x:v>South</x:v>
      </x:c>
      <x:c r="G498" t="str">
        <x:v>Retail</x:v>
      </x:c>
      <x:c r="H498" t="str">
        <x:v>Cancelled</x:v>
      </x:c>
      <x:c r="I498" t="n">
        <x:v>2</x:v>
      </x:c>
      <x:c r="J498" s="12" t="n">
        <x:v>133.06</x:v>
      </x:c>
      <x:c r="K498" s="12" t="n">
        <x:v>68.64</x:v>
      </x:c>
      <x:c r="L498" s="14" t="n">
        <x:v>0</x:v>
      </x:c>
      <x:c r="M498" s="12" t="n">
        <x:f>IF(H498="Completed",I498*J498*(1-L498),0)</x:f>
        <x:v>0</x:v>
      </x:c>
      <x:c r="N498" s="12" t="n">
        <x:f>IF(H498="Completed",I498*K498,0)</x:f>
        <x:v>0</x:v>
      </x:c>
      <x:c r="O498" s="12" t="n">
        <x:f>M498-N498</x:f>
        <x:v>0</x:v>
      </x:c>
      <x:c r="P498" s="16" t="n">
        <x:f>IFERROR(O498/M498,0)</x:f>
        <x:v>0</x:v>
      </x:c>
      <x:c r="Q498" t="n">
        <x:f>YEAR(B498)</x:f>
        <x:v>2025</x:v>
      </x:c>
      <x:c r="R498" t="str">
        <x:f>TEXT(B498,"yyyy-mm")</x:f>
        <x:v>2025-05</x:v>
      </x:c>
    </x:row>
    <x:row r="499">
      <x:c r="A499" t="n">
        <x:v>10483</x:v>
      </x:c>
      <x:c r="B499" s="10" t="n">
        <x:v>45790</x:v>
      </x:c>
      <x:c r="C499" t="str">
        <x:v>P002</x:v>
      </x:c>
      <x:c r="D499" t="str">
        <x:v>Monitor</x:v>
      </x:c>
      <x:c r="E499" t="str">
        <x:v>Electronics</x:v>
      </x:c>
      <x:c r="F499" t="str">
        <x:v>South</x:v>
      </x:c>
      <x:c r="G499" t="str">
        <x:v>Online</x:v>
      </x:c>
      <x:c r="H499" t="str">
        <x:v>Completed</x:v>
      </x:c>
      <x:c r="I499" t="n">
        <x:v>2</x:v>
      </x:c>
      <x:c r="J499" s="12" t="n">
        <x:v>294.23</x:v>
      </x:c>
      <x:c r="K499" s="12" t="n">
        <x:v>168.27</x:v>
      </x:c>
      <x:c r="L499" s="14" t="n">
        <x:v>0</x:v>
      </x:c>
      <x:c r="M499" s="12" t="n">
        <x:f>IF(H499="Completed",I499*J499*(1-L499),0)</x:f>
        <x:v>588.46</x:v>
      </x:c>
      <x:c r="N499" s="12" t="n">
        <x:f>IF(H499="Completed",I499*K499,0)</x:f>
        <x:v>336.54</x:v>
      </x:c>
      <x:c r="O499" s="12" t="n">
        <x:f>M499-N499</x:f>
        <x:v>251.92000000000002</x:v>
      </x:c>
      <x:c r="P499" s="16" t="n">
        <x:f>IFERROR(O499/M499,0)</x:f>
        <x:v>0.42810046562213233</x:v>
      </x:c>
      <x:c r="Q499" t="n">
        <x:f>YEAR(B499)</x:f>
        <x:v>2025</x:v>
      </x:c>
      <x:c r="R499" t="str">
        <x:f>TEXT(B499,"yyyy-mm")</x:f>
        <x:v>2025-05</x:v>
      </x:c>
    </x:row>
    <x:row r="500">
      <x:c r="A500" t="n">
        <x:v>10492</x:v>
      </x:c>
      <x:c r="B500" s="10" t="n">
        <x:v>45790</x:v>
      </x:c>
      <x:c r="C500" t="str">
        <x:v>P008</x:v>
      </x:c>
      <x:c r="D500" t="str">
        <x:v>Webcam</x:v>
      </x:c>
      <x:c r="E500" t="str">
        <x:v>Electronics</x:v>
      </x:c>
      <x:c r="F500" t="str">
        <x:v>South</x:v>
      </x:c>
      <x:c r="G500" t="str">
        <x:v>Online</x:v>
      </x:c>
      <x:c r="H500" t="str">
        <x:v>Completed</x:v>
      </x:c>
      <x:c r="I500" t="n">
        <x:v>1</x:v>
      </x:c>
      <x:c r="J500" s="12" t="n">
        <x:v>86.81</x:v>
      </x:c>
      <x:c r="K500" s="12" t="n">
        <x:v>42.51</x:v>
      </x:c>
      <x:c r="L500" s="14" t="n">
        <x:v>0</x:v>
      </x:c>
      <x:c r="M500" s="12" t="n">
        <x:f>IF(H500="Completed",I500*J500*(1-L500),0)</x:f>
        <x:v>86.81</x:v>
      </x:c>
      <x:c r="N500" s="12" t="n">
        <x:f>IF(H500="Completed",I500*K500,0)</x:f>
        <x:v>42.51</x:v>
      </x:c>
      <x:c r="O500" s="12" t="n">
        <x:f>M500-N500</x:f>
        <x:v>44.300000000000004</x:v>
      </x:c>
      <x:c r="P500" s="16" t="n">
        <x:f>IFERROR(O500/M500,0)</x:f>
        <x:v>0.5103098721345467</x:v>
      </x:c>
      <x:c r="Q500" t="n">
        <x:f>YEAR(B500)</x:f>
        <x:v>2025</x:v>
      </x:c>
      <x:c r="R500" t="str">
        <x:f>TEXT(B500,"yyyy-mm")</x:f>
        <x:v>2025-05</x:v>
      </x:c>
    </x:row>
    <x:row r="501">
      <x:c r="A501" t="n">
        <x:v>10862</x:v>
      </x:c>
      <x:c r="B501" s="10" t="n">
        <x:v>45790</x:v>
      </x:c>
      <x:c r="C501" t="str">
        <x:v>P005</x:v>
      </x:c>
      <x:c r="D501" t="str">
        <x:v>Desk</x:v>
      </x:c>
      <x:c r="E501" t="str">
        <x:v>Furniture</x:v>
      </x:c>
      <x:c r="F501" t="str">
        <x:v>Scotland</x:v>
      </x:c>
      <x:c r="G501" t="str">
        <x:v>Retail</x:v>
      </x:c>
      <x:c r="H501" t="str">
        <x:v>Cancelled</x:v>
      </x:c>
      <x:c r="I501" t="n">
        <x:v>3</x:v>
      </x:c>
      <x:c r="J501" s="12" t="n">
        <x:v>284</x:v>
      </x:c>
      <x:c r="K501" s="12" t="n">
        <x:v>158.51</x:v>
      </x:c>
      <x:c r="L501" s="14" t="n">
        <x:v>0</x:v>
      </x:c>
      <x:c r="M501" s="12" t="n">
        <x:f>IF(H501="Completed",I501*J501*(1-L501),0)</x:f>
        <x:v>0</x:v>
      </x:c>
      <x:c r="N501" s="12" t="n">
        <x:f>IF(H501="Completed",I501*K501,0)</x:f>
        <x:v>0</x:v>
      </x:c>
      <x:c r="O501" s="12" t="n">
        <x:f>M501-N501</x:f>
        <x:v>0</x:v>
      </x:c>
      <x:c r="P501" s="16" t="n">
        <x:f>IFERROR(O501/M501,0)</x:f>
        <x:v>0</x:v>
      </x:c>
      <x:c r="Q501" t="n">
        <x:f>YEAR(B501)</x:f>
        <x:v>2025</x:v>
      </x:c>
      <x:c r="R501" t="str">
        <x:f>TEXT(B501,"yyyy-mm")</x:f>
        <x:v>2025-05</x:v>
      </x:c>
    </x:row>
    <x:row r="502">
      <x:c r="A502" t="n">
        <x:v>10016</x:v>
      </x:c>
      <x:c r="B502" s="10" t="n">
        <x:v>45792</x:v>
      </x:c>
      <x:c r="C502" t="str">
        <x:v>P001</x:v>
      </x:c>
      <x:c r="D502" t="str">
        <x:v>Laptop</x:v>
      </x:c>
      <x:c r="E502" t="str">
        <x:v>Electronics</x:v>
      </x:c>
      <x:c r="F502" t="str">
        <x:v>Wales</x:v>
      </x:c>
      <x:c r="G502" t="str">
        <x:v>Partner</x:v>
      </x:c>
      <x:c r="H502" t="str">
        <x:v>Completed</x:v>
      </x:c>
      <x:c r="I502" t="n">
        <x:v>1</x:v>
      </x:c>
      <x:c r="J502" s="12" t="n">
        <x:v>896.13</x:v>
      </x:c>
      <x:c r="K502" s="12" t="n">
        <x:v>634.82</x:v>
      </x:c>
      <x:c r="L502" s="14" t="n">
        <x:v>0</x:v>
      </x:c>
      <x:c r="M502" s="12" t="n">
        <x:f>IF(H502="Completed",I502*J502*(1-L502),0)</x:f>
        <x:v>896.13</x:v>
      </x:c>
      <x:c r="N502" s="12" t="n">
        <x:f>IF(H502="Completed",I502*K502,0)</x:f>
        <x:v>634.82</x:v>
      </x:c>
      <x:c r="O502" s="12" t="n">
        <x:f>M502-N502</x:f>
        <x:v>261.30999999999995</x:v>
      </x:c>
      <x:c r="P502" s="16" t="n">
        <x:f>IFERROR(O502/M502,0)</x:f>
        <x:v>0.2915983172084407</x:v>
      </x:c>
      <x:c r="Q502" t="n">
        <x:f>YEAR(B502)</x:f>
        <x:v>2025</x:v>
      </x:c>
      <x:c r="R502" t="str">
        <x:f>TEXT(B502,"yyyy-mm")</x:f>
        <x:v>2025-05</x:v>
      </x:c>
    </x:row>
    <x:row r="503">
      <x:c r="A503" t="n">
        <x:v>10306</x:v>
      </x:c>
      <x:c r="B503" s="10" t="n">
        <x:v>45795</x:v>
      </x:c>
      <x:c r="C503" t="str">
        <x:v>P007</x:v>
      </x:c>
      <x:c r="D503" t="str">
        <x:v>Headset</x:v>
      </x:c>
      <x:c r="E503" t="str">
        <x:v>Accessories</x:v>
      </x:c>
      <x:c r="F503" t="str">
        <x:v>South</x:v>
      </x:c>
      <x:c r="G503" t="str">
        <x:v>Online</x:v>
      </x:c>
      <x:c r="H503" t="str">
        <x:v>Completed</x:v>
      </x:c>
      <x:c r="I503" t="n">
        <x:v>4</x:v>
      </x:c>
      <x:c r="J503" s="12" t="n">
        <x:v>71.31</x:v>
      </x:c>
      <x:c r="K503" s="12" t="n">
        <x:v>34.78</x:v>
      </x:c>
      <x:c r="L503" s="14" t="n">
        <x:v>0</x:v>
      </x:c>
      <x:c r="M503" s="12" t="n">
        <x:f>IF(H503="Completed",I503*J503*(1-L503),0)</x:f>
        <x:v>285.24</x:v>
      </x:c>
      <x:c r="N503" s="12" t="n">
        <x:f>IF(H503="Completed",I503*K503,0)</x:f>
        <x:v>139.12</x:v>
      </x:c>
      <x:c r="O503" s="12" t="n">
        <x:f>M503-N503</x:f>
        <x:v>146.12</x:v>
      </x:c>
      <x:c r="P503" s="16" t="n">
        <x:f>IFERROR(O503/M503,0)</x:f>
        <x:v>0.5122703688122283</x:v>
      </x:c>
      <x:c r="Q503" t="n">
        <x:f>YEAR(B503)</x:f>
        <x:v>2025</x:v>
      </x:c>
      <x:c r="R503" t="str">
        <x:f>TEXT(B503,"yyyy-mm")</x:f>
        <x:v>2025-05</x:v>
      </x:c>
    </x:row>
    <x:row r="504">
      <x:c r="A504" t="n">
        <x:v>10860</x:v>
      </x:c>
      <x:c r="B504" s="10" t="n">
        <x:v>45797</x:v>
      </x:c>
      <x:c r="C504" t="str">
        <x:v>P005</x:v>
      </x:c>
      <x:c r="D504" t="str">
        <x:v>Desk</x:v>
      </x:c>
      <x:c r="E504" t="str">
        <x:v>Furniture</x:v>
      </x:c>
      <x:c r="F504" t="str">
        <x:v>North</x:v>
      </x:c>
      <x:c r="G504" t="str">
        <x:v>Online</x:v>
      </x:c>
      <x:c r="H504" t="str">
        <x:v>Completed</x:v>
      </x:c>
      <x:c r="I504" t="n">
        <x:v>2</x:v>
      </x:c>
      <x:c r="J504" s="12" t="n">
        <x:v>283.71</x:v>
      </x:c>
      <x:c r="K504" s="12" t="n">
        <x:v>154.67</x:v>
      </x:c>
      <x:c r="L504" s="14" t="n">
        <x:v>0</x:v>
      </x:c>
      <x:c r="M504" s="12" t="n">
        <x:f>IF(H504="Completed",I504*J504*(1-L504),0)</x:f>
        <x:v>567.42</x:v>
      </x:c>
      <x:c r="N504" s="12" t="n">
        <x:f>IF(H504="Completed",I504*K504,0)</x:f>
        <x:v>309.34</x:v>
      </x:c>
      <x:c r="O504" s="12" t="n">
        <x:f>M504-N504</x:f>
        <x:v>258.08</x:v>
      </x:c>
      <x:c r="P504" s="16" t="n">
        <x:f>IFERROR(O504/M504,0)</x:f>
        <x:v>0.45483063691797965</x:v>
      </x:c>
      <x:c r="Q504" t="n">
        <x:f>YEAR(B504)</x:f>
        <x:v>2025</x:v>
      </x:c>
      <x:c r="R504" t="str">
        <x:f>TEXT(B504,"yyyy-mm")</x:f>
        <x:v>2025-05</x:v>
      </x:c>
    </x:row>
    <x:row r="505">
      <x:c r="A505" t="n">
        <x:v>10913</x:v>
      </x:c>
      <x:c r="B505" s="10" t="n">
        <x:v>45797</x:v>
      </x:c>
      <x:c r="C505" t="str">
        <x:v>P003</x:v>
      </x:c>
      <x:c r="D505" t="str">
        <x:v>Keyboard</x:v>
      </x:c>
      <x:c r="E505" t="str">
        <x:v>Accessories</x:v>
      </x:c>
      <x:c r="F505" t="str">
        <x:v>South</x:v>
      </x:c>
      <x:c r="G505" t="str">
        <x:v>Retail</x:v>
      </x:c>
      <x:c r="H505" t="str">
        <x:v>Cancelled</x:v>
      </x:c>
      <x:c r="I505" t="n">
        <x:v>2</x:v>
      </x:c>
      <x:c r="J505" s="12" t="n">
        <x:v>48.13</x:v>
      </x:c>
      <x:c r="K505" s="12" t="n">
        <x:v>26.24</x:v>
      </x:c>
      <x:c r="L505" s="14" t="n">
        <x:v>0.1</x:v>
      </x:c>
      <x:c r="M505" s="12" t="n">
        <x:f>IF(H505="Completed",I505*J505*(1-L505),0)</x:f>
        <x:v>0</x:v>
      </x:c>
      <x:c r="N505" s="12" t="n">
        <x:f>IF(H505="Completed",I505*K505,0)</x:f>
        <x:v>0</x:v>
      </x:c>
      <x:c r="O505" s="12" t="n">
        <x:f>M505-N505</x:f>
        <x:v>0</x:v>
      </x:c>
      <x:c r="P505" s="16" t="n">
        <x:f>IFERROR(O505/M505,0)</x:f>
        <x:v>0</x:v>
      </x:c>
      <x:c r="Q505" t="n">
        <x:f>YEAR(B505)</x:f>
        <x:v>2025</x:v>
      </x:c>
      <x:c r="R505" t="str">
        <x:f>TEXT(B505,"yyyy-mm")</x:f>
        <x:v>2025-05</x:v>
      </x:c>
    </x:row>
    <x:row r="506">
      <x:c r="A506" t="n">
        <x:v>10943</x:v>
      </x:c>
      <x:c r="B506" s="10" t="n">
        <x:v>45798</x:v>
      </x:c>
      <x:c r="C506" t="str">
        <x:v>P008</x:v>
      </x:c>
      <x:c r="D506" t="str">
        <x:v>Webcam</x:v>
      </x:c>
      <x:c r="E506" t="str">
        <x:v>Electronics</x:v>
      </x:c>
      <x:c r="F506" t="str">
        <x:v>South</x:v>
      </x:c>
      <x:c r="G506" t="str">
        <x:v>Retail</x:v>
      </x:c>
      <x:c r="H506" t="str">
        <x:v>Cancelled</x:v>
      </x:c>
      <x:c r="I506" t="n">
        <x:v>3</x:v>
      </x:c>
      <x:c r="J506" s="12" t="n">
        <x:v>86.56</x:v>
      </x:c>
      <x:c r="K506" s="12" t="n">
        <x:v>41.62</x:v>
      </x:c>
      <x:c r="L506" s="14" t="n">
        <x:v>0.15</x:v>
      </x:c>
      <x:c r="M506" s="12" t="n">
        <x:f>IF(H506="Completed",I506*J506*(1-L506),0)</x:f>
        <x:v>0</x:v>
      </x:c>
      <x:c r="N506" s="12" t="n">
        <x:f>IF(H506="Completed",I506*K506,0)</x:f>
        <x:v>0</x:v>
      </x:c>
      <x:c r="O506" s="12" t="n">
        <x:f>M506-N506</x:f>
        <x:v>0</x:v>
      </x:c>
      <x:c r="P506" s="16" t="n">
        <x:f>IFERROR(O506/M506,0)</x:f>
        <x:v>0</x:v>
      </x:c>
      <x:c r="Q506" t="n">
        <x:f>YEAR(B506)</x:f>
        <x:v>2025</x:v>
      </x:c>
      <x:c r="R506" t="str">
        <x:f>TEXT(B506,"yyyy-mm")</x:f>
        <x:v>2025-05</x:v>
      </x:c>
    </x:row>
    <x:row r="507">
      <x:c r="A507" t="n">
        <x:v>10840</x:v>
      </x:c>
      <x:c r="B507" s="10" t="n">
        <x:v>45799</x:v>
      </x:c>
      <x:c r="C507" t="str">
        <x:v>P002</x:v>
      </x:c>
      <x:c r="D507" t="str">
        <x:v>Monitor</x:v>
      </x:c>
      <x:c r="E507" t="str">
        <x:v>Electronics</x:v>
      </x:c>
      <x:c r="F507" t="str">
        <x:v>South</x:v>
      </x:c>
      <x:c r="G507" t="str">
        <x:v>Online</x:v>
      </x:c>
      <x:c r="H507" t="str">
        <x:v>Completed</x:v>
      </x:c>
      <x:c r="I507" t="n">
        <x:v>3</x:v>
      </x:c>
      <x:c r="J507" s="12" t="n">
        <x:v>279.41</x:v>
      </x:c>
      <x:c r="K507" s="12" t="n">
        <x:v>167.69</x:v>
      </x:c>
      <x:c r="L507" s="14" t="n">
        <x:v>0</x:v>
      </x:c>
      <x:c r="M507" s="12" t="n">
        <x:f>IF(H507="Completed",I507*J507*(1-L507),0)</x:f>
        <x:v>838.23</x:v>
      </x:c>
      <x:c r="N507" s="12" t="n">
        <x:f>IF(H507="Completed",I507*K507,0)</x:f>
        <x:v>503.07</x:v>
      </x:c>
      <x:c r="O507" s="12" t="n">
        <x:f>M507-N507</x:f>
        <x:v>335.16</x:v>
      </x:c>
      <x:c r="P507" s="16" t="n">
        <x:f>IFERROR(O507/M507,0)</x:f>
        <x:v>0.39984252532121256</x:v>
      </x:c>
      <x:c r="Q507" t="n">
        <x:f>YEAR(B507)</x:f>
        <x:v>2025</x:v>
      </x:c>
      <x:c r="R507" t="str">
        <x:f>TEXT(B507,"yyyy-mm")</x:f>
        <x:v>2025-05</x:v>
      </x:c>
    </x:row>
    <x:row r="508">
      <x:c r="A508" t="n">
        <x:v>10374</x:v>
      </x:c>
      <x:c r="B508" s="10" t="n">
        <x:v>45800</x:v>
      </x:c>
      <x:c r="C508" t="str">
        <x:v>P003</x:v>
      </x:c>
      <x:c r="D508" t="str">
        <x:v>Keyboard</x:v>
      </x:c>
      <x:c r="E508" t="str">
        <x:v>Accessories</x:v>
      </x:c>
      <x:c r="F508" t="str">
        <x:v>Scotland</x:v>
      </x:c>
      <x:c r="G508" t="str">
        <x:v>Online</x:v>
      </x:c>
      <x:c r="H508" t="str">
        <x:v>Completed</x:v>
      </x:c>
      <x:c r="I508" t="n">
        <x:v>3</x:v>
      </x:c>
      <x:c r="J508" s="12" t="n">
        <x:v>49.71</x:v>
      </x:c>
      <x:c r="K508" s="12" t="n">
        <x:v>26.73</x:v>
      </x:c>
      <x:c r="L508" s="14" t="n">
        <x:v>0</x:v>
      </x:c>
      <x:c r="M508" s="12" t="n">
        <x:f>IF(H508="Completed",I508*J508*(1-L508),0)</x:f>
        <x:v>149.13</x:v>
      </x:c>
      <x:c r="N508" s="12" t="n">
        <x:f>IF(H508="Completed",I508*K508,0)</x:f>
        <x:v>80.19</x:v>
      </x:c>
      <x:c r="O508" s="12" t="n">
        <x:f>M508-N508</x:f>
        <x:v>68.94</x:v>
      </x:c>
      <x:c r="P508" s="16" t="n">
        <x:f>IFERROR(O508/M508,0)</x:f>
        <x:v>0.4622812311406156</x:v>
      </x:c>
      <x:c r="Q508" t="n">
        <x:f>YEAR(B508)</x:f>
        <x:v>2025</x:v>
      </x:c>
      <x:c r="R508" t="str">
        <x:f>TEXT(B508,"yyyy-mm")</x:f>
        <x:v>2025-05</x:v>
      </x:c>
    </x:row>
    <x:row r="509">
      <x:c r="A509" t="n">
        <x:v>10730</x:v>
      </x:c>
      <x:c r="B509" s="10" t="n">
        <x:v>45800</x:v>
      </x:c>
      <x:c r="C509" t="str">
        <x:v>P003</x:v>
      </x:c>
      <x:c r="D509" t="str">
        <x:v>Keyboard</x:v>
      </x:c>
      <x:c r="E509" t="str">
        <x:v>Accessories</x:v>
      </x:c>
      <x:c r="F509" t="str">
        <x:v>South</x:v>
      </x:c>
      <x:c r="G509" t="str">
        <x:v>Retail</x:v>
      </x:c>
      <x:c r="H509" t="str">
        <x:v>Completed</x:v>
      </x:c>
      <x:c r="I509" t="n">
        <x:v>2</x:v>
      </x:c>
      <x:c r="J509" s="12" t="n">
        <x:v>50.86</x:v>
      </x:c>
      <x:c r="K509" s="12" t="n">
        <x:v>26.18</x:v>
      </x:c>
      <x:c r="L509" s="14" t="n">
        <x:v>0.05</x:v>
      </x:c>
      <x:c r="M509" s="12" t="n">
        <x:f>IF(H509="Completed",I509*J509*(1-L509),0)</x:f>
        <x:v>96.634</x:v>
      </x:c>
      <x:c r="N509" s="12" t="n">
        <x:f>IF(H509="Completed",I509*K509,0)</x:f>
        <x:v>52.36</x:v>
      </x:c>
      <x:c r="O509" s="12" t="n">
        <x:f>M509-N509</x:f>
        <x:v>44.274</x:v>
      </x:c>
      <x:c r="P509" s="16" t="n">
        <x:f>IFERROR(O509/M509,0)</x:f>
        <x:v>0.4581617236169464</x:v>
      </x:c>
      <x:c r="Q509" t="n">
        <x:f>YEAR(B509)</x:f>
        <x:v>2025</x:v>
      </x:c>
      <x:c r="R509" t="str">
        <x:f>TEXT(B509,"yyyy-mm")</x:f>
        <x:v>2025-05</x:v>
      </x:c>
    </x:row>
    <x:row r="510">
      <x:c r="A510" t="n">
        <x:v>10554</x:v>
      </x:c>
      <x:c r="B510" s="10" t="n">
        <x:v>45802</x:v>
      </x:c>
      <x:c r="C510" t="str">
        <x:v>P006</x:v>
      </x:c>
      <x:c r="D510" t="str">
        <x:v>Chair</x:v>
      </x:c>
      <x:c r="E510" t="str">
        <x:v>Furniture</x:v>
      </x:c>
      <x:c r="F510" t="str">
        <x:v>South</x:v>
      </x:c>
      <x:c r="G510" t="str">
        <x:v>Online</x:v>
      </x:c>
      <x:c r="H510" t="str">
        <x:v>Completed</x:v>
      </x:c>
      <x:c r="I510" t="n">
        <x:v>4</x:v>
      </x:c>
      <x:c r="J510" s="12" t="n">
        <x:v>131.48</x:v>
      </x:c>
      <x:c r="K510" s="12" t="n">
        <x:v>69.28</x:v>
      </x:c>
      <x:c r="L510" s="14" t="n">
        <x:v>0</x:v>
      </x:c>
      <x:c r="M510" s="12" t="n">
        <x:f>IF(H510="Completed",I510*J510*(1-L510),0)</x:f>
        <x:v>525.92</x:v>
      </x:c>
      <x:c r="N510" s="12" t="n">
        <x:f>IF(H510="Completed",I510*K510,0)</x:f>
        <x:v>277.12</x:v>
      </x:c>
      <x:c r="O510" s="12" t="n">
        <x:f>M510-N510</x:f>
        <x:v>248.79999999999995</x:v>
      </x:c>
      <x:c r="P510" s="16" t="n">
        <x:f>IFERROR(O510/M510,0)</x:f>
        <x:v>0.47307575296623056</x:v>
      </x:c>
      <x:c r="Q510" t="n">
        <x:f>YEAR(B510)</x:f>
        <x:v>2025</x:v>
      </x:c>
      <x:c r="R510" t="str">
        <x:f>TEXT(B510,"yyyy-mm")</x:f>
        <x:v>2025-05</x:v>
      </x:c>
    </x:row>
    <x:row r="511">
      <x:c r="A511" t="n">
        <x:v>10271</x:v>
      </x:c>
      <x:c r="B511" s="10" t="n">
        <x:v>45803</x:v>
      </x:c>
      <x:c r="C511" t="str">
        <x:v>P007</x:v>
      </x:c>
      <x:c r="D511" t="str">
        <x:v>Headset</x:v>
      </x:c>
      <x:c r="E511" t="str">
        <x:v>Accessories</x:v>
      </x:c>
      <x:c r="F511" t="str">
        <x:v>South</x:v>
      </x:c>
      <x:c r="G511" t="str">
        <x:v>Partner</x:v>
      </x:c>
      <x:c r="H511" t="str">
        <x:v>Completed</x:v>
      </x:c>
      <x:c r="I511" t="n">
        <x:v>3</x:v>
      </x:c>
      <x:c r="J511" s="12" t="n">
        <x:v>74.47</x:v>
      </x:c>
      <x:c r="K511" s="12" t="n">
        <x:v>34.7</x:v>
      </x:c>
      <x:c r="L511" s="14" t="n">
        <x:v>0.1</x:v>
      </x:c>
      <x:c r="M511" s="12" t="n">
        <x:f>IF(H511="Completed",I511*J511*(1-L511),0)</x:f>
        <x:v>201.069</x:v>
      </x:c>
      <x:c r="N511" s="12" t="n">
        <x:f>IF(H511="Completed",I511*K511,0)</x:f>
        <x:v>104.10000000000001</x:v>
      </x:c>
      <x:c r="O511" s="12" t="n">
        <x:f>M511-N511</x:f>
        <x:v>96.96899999999998</x:v>
      </x:c>
      <x:c r="P511" s="16" t="n">
        <x:f>IFERROR(O511/M511,0)</x:f>
        <x:v>0.4822672813810184</x:v>
      </x:c>
      <x:c r="Q511" t="n">
        <x:f>YEAR(B511)</x:f>
        <x:v>2025</x:v>
      </x:c>
      <x:c r="R511" t="str">
        <x:f>TEXT(B511,"yyyy-mm")</x:f>
        <x:v>2025-05</x:v>
      </x:c>
    </x:row>
    <x:row r="512">
      <x:c r="A512" t="n">
        <x:v>10532</x:v>
      </x:c>
      <x:c r="B512" s="10" t="n">
        <x:v>45803</x:v>
      </x:c>
      <x:c r="C512" t="str">
        <x:v>P003</x:v>
      </x:c>
      <x:c r="D512" t="str">
        <x:v>Keyboard</x:v>
      </x:c>
      <x:c r="E512" t="str">
        <x:v>Accessories</x:v>
      </x:c>
      <x:c r="F512" t="str">
        <x:v>Scotland</x:v>
      </x:c>
      <x:c r="G512" t="str">
        <x:v>Online</x:v>
      </x:c>
      <x:c r="H512" t="str">
        <x:v>Cancelled</x:v>
      </x:c>
      <x:c r="I512" t="n">
        <x:v>3</x:v>
      </x:c>
      <x:c r="J512" s="12" t="n">
        <x:v>47.69</x:v>
      </x:c>
      <x:c r="K512" s="12" t="n">
        <x:v>25.61</x:v>
      </x:c>
      <x:c r="L512" s="14" t="n">
        <x:v>0.1</x:v>
      </x:c>
      <x:c r="M512" s="12" t="n">
        <x:f>IF(H512="Completed",I512*J512*(1-L512),0)</x:f>
        <x:v>0</x:v>
      </x:c>
      <x:c r="N512" s="12" t="n">
        <x:f>IF(H512="Completed",I512*K512,0)</x:f>
        <x:v>0</x:v>
      </x:c>
      <x:c r="O512" s="12" t="n">
        <x:f>M512-N512</x:f>
        <x:v>0</x:v>
      </x:c>
      <x:c r="P512" s="16" t="n">
        <x:f>IFERROR(O512/M512,0)</x:f>
        <x:v>0</x:v>
      </x:c>
      <x:c r="Q512" t="n">
        <x:f>YEAR(B512)</x:f>
        <x:v>2025</x:v>
      </x:c>
      <x:c r="R512" t="str">
        <x:f>TEXT(B512,"yyyy-mm")</x:f>
        <x:v>2025-05</x:v>
      </x:c>
    </x:row>
    <x:row r="513">
      <x:c r="A513" t="n">
        <x:v>10639</x:v>
      </x:c>
      <x:c r="B513" s="10" t="n">
        <x:v>45804</x:v>
      </x:c>
      <x:c r="C513" t="str">
        <x:v>P003</x:v>
      </x:c>
      <x:c r="D513" t="str">
        <x:v>Keyboard</x:v>
      </x:c>
      <x:c r="E513" t="str">
        <x:v>Accessories</x:v>
      </x:c>
      <x:c r="F513" t="str">
        <x:v>Midlands</x:v>
      </x:c>
      <x:c r="G513" t="str">
        <x:v>Online</x:v>
      </x:c>
      <x:c r="H513" t="str">
        <x:v>Cancelled</x:v>
      </x:c>
      <x:c r="I513" t="n">
        <x:v>2</x:v>
      </x:c>
      <x:c r="J513" s="12" t="n">
        <x:v>50.19</x:v>
      </x:c>
      <x:c r="K513" s="12" t="n">
        <x:v>25.67</x:v>
      </x:c>
      <x:c r="L513" s="14" t="n">
        <x:v>0</x:v>
      </x:c>
      <x:c r="M513" s="12" t="n">
        <x:f>IF(H513="Completed",I513*J513*(1-L513),0)</x:f>
        <x:v>0</x:v>
      </x:c>
      <x:c r="N513" s="12" t="n">
        <x:f>IF(H513="Completed",I513*K513,0)</x:f>
        <x:v>0</x:v>
      </x:c>
      <x:c r="O513" s="12" t="n">
        <x:f>M513-N513</x:f>
        <x:v>0</x:v>
      </x:c>
      <x:c r="P513" s="16" t="n">
        <x:f>IFERROR(O513/M513,0)</x:f>
        <x:v>0</x:v>
      </x:c>
      <x:c r="Q513" t="n">
        <x:f>YEAR(B513)</x:f>
        <x:v>2025</x:v>
      </x:c>
      <x:c r="R513" t="str">
        <x:f>TEXT(B513,"yyyy-mm")</x:f>
        <x:v>2025-05</x:v>
      </x:c>
    </x:row>
    <x:row r="514">
      <x:c r="A514" t="n">
        <x:v>10587</x:v>
      </x:c>
      <x:c r="B514" s="10" t="n">
        <x:v>45805</x:v>
      </x:c>
      <x:c r="C514" t="str">
        <x:v>P007</x:v>
      </x:c>
      <x:c r="D514" t="str">
        <x:v>Headset</x:v>
      </x:c>
      <x:c r="E514" t="str">
        <x:v>Accessories</x:v>
      </x:c>
      <x:c r="F514" t="str">
        <x:v>Scotland</x:v>
      </x:c>
      <x:c r="G514" t="str">
        <x:v>Online</x:v>
      </x:c>
      <x:c r="H514" t="str">
        <x:v>Completed</x:v>
      </x:c>
      <x:c r="I514" t="n">
        <x:v>2</x:v>
      </x:c>
      <x:c r="J514" s="12" t="n">
        <x:v>71.83</x:v>
      </x:c>
      <x:c r="K514" s="12" t="n">
        <x:v>35.3</x:v>
      </x:c>
      <x:c r="L514" s="14" t="n">
        <x:v>0.05</x:v>
      </x:c>
      <x:c r="M514" s="12" t="n">
        <x:f>IF(H514="Completed",I514*J514*(1-L514),0)</x:f>
        <x:v>136.477</x:v>
      </x:c>
      <x:c r="N514" s="12" t="n">
        <x:f>IF(H514="Completed",I514*K514,0)</x:f>
        <x:v>70.6</x:v>
      </x:c>
      <x:c r="O514" s="12" t="n">
        <x:f>M514-N514</x:f>
        <x:v>65.87700000000001</x:v>
      </x:c>
      <x:c r="P514" s="16" t="n">
        <x:f>IFERROR(O514/M514,0)</x:f>
        <x:v>0.48269671812832937</x:v>
      </x:c>
      <x:c r="Q514" t="n">
        <x:f>YEAR(B514)</x:f>
        <x:v>2025</x:v>
      </x:c>
      <x:c r="R514" t="str">
        <x:f>TEXT(B514,"yyyy-mm")</x:f>
        <x:v>2025-05</x:v>
      </x:c>
    </x:row>
    <x:row r="515">
      <x:c r="A515" t="n">
        <x:v>10599</x:v>
      </x:c>
      <x:c r="B515" s="10" t="n">
        <x:v>45805</x:v>
      </x:c>
      <x:c r="C515" t="str">
        <x:v>P005</x:v>
      </x:c>
      <x:c r="D515" t="str">
        <x:v>Desk</x:v>
      </x:c>
      <x:c r="E515" t="str">
        <x:v>Furniture</x:v>
      </x:c>
      <x:c r="F515" t="str">
        <x:v>South</x:v>
      </x:c>
      <x:c r="G515" t="str">
        <x:v>Partner</x:v>
      </x:c>
      <x:c r="H515" t="str">
        <x:v>Completed</x:v>
      </x:c>
      <x:c r="I515" t="n">
        <x:v>1</x:v>
      </x:c>
      <x:c r="J515" s="12" t="n">
        <x:v>285.02</x:v>
      </x:c>
      <x:c r="K515" s="12" t="n">
        <x:v>153.65</x:v>
      </x:c>
      <x:c r="L515" s="14" t="n">
        <x:v>0.1</x:v>
      </x:c>
      <x:c r="M515" s="12" t="n">
        <x:f>IF(H515="Completed",I515*J515*(1-L515),0)</x:f>
        <x:v>256.518</x:v>
      </x:c>
      <x:c r="N515" s="12" t="n">
        <x:f>IF(H515="Completed",I515*K515,0)</x:f>
        <x:v>153.65</x:v>
      </x:c>
      <x:c r="O515" s="12" t="n">
        <x:f>M515-N515</x:f>
        <x:v>102.86799999999997</x:v>
      </x:c>
      <x:c r="P515" s="16" t="n">
        <x:f>IFERROR(O515/M515,0)</x:f>
        <x:v>0.40101669278569135</x:v>
      </x:c>
      <x:c r="Q515" t="n">
        <x:f>YEAR(B515)</x:f>
        <x:v>2025</x:v>
      </x:c>
      <x:c r="R515" t="str">
        <x:f>TEXT(B515,"yyyy-mm")</x:f>
        <x:v>2025-05</x:v>
      </x:c>
    </x:row>
    <x:row r="516">
      <x:c r="A516" t="n">
        <x:v>10501</x:v>
      </x:c>
      <x:c r="B516" s="10" t="n">
        <x:v>45807</x:v>
      </x:c>
      <x:c r="C516" t="str">
        <x:v>P002</x:v>
      </x:c>
      <x:c r="D516" t="str">
        <x:v>Monitor</x:v>
      </x:c>
      <x:c r="E516" t="str">
        <x:v>Electronics</x:v>
      </x:c>
      <x:c r="F516" t="str">
        <x:v>South</x:v>
      </x:c>
      <x:c r="G516" t="str">
        <x:v>Online</x:v>
      </x:c>
      <x:c r="H516" t="str">
        <x:v>Cancelled</x:v>
      </x:c>
      <x:c r="I516" t="n">
        <x:v>1</x:v>
      </x:c>
      <x:c r="J516" s="12" t="n">
        <x:v>292.96</x:v>
      </x:c>
      <x:c r="K516" s="12" t="n">
        <x:v>174.22</x:v>
      </x:c>
      <x:c r="L516" s="14" t="n">
        <x:v>0.1</x:v>
      </x:c>
      <x:c r="M516" s="12" t="n">
        <x:f>IF(H516="Completed",I516*J516*(1-L516),0)</x:f>
        <x:v>0</x:v>
      </x:c>
      <x:c r="N516" s="12" t="n">
        <x:f>IF(H516="Completed",I516*K516,0)</x:f>
        <x:v>0</x:v>
      </x:c>
      <x:c r="O516" s="12" t="n">
        <x:f>M516-N516</x:f>
        <x:v>0</x:v>
      </x:c>
      <x:c r="P516" s="16" t="n">
        <x:f>IFERROR(O516/M516,0)</x:f>
        <x:v>0</x:v>
      </x:c>
      <x:c r="Q516" t="n">
        <x:f>YEAR(B516)</x:f>
        <x:v>2025</x:v>
      </x:c>
      <x:c r="R516" t="str">
        <x:f>TEXT(B516,"yyyy-mm")</x:f>
        <x:v>2025-05</x:v>
      </x:c>
    </x:row>
    <x:row r="517">
      <x:c r="A517" t="n">
        <x:v>10232</x:v>
      </x:c>
      <x:c r="B517" s="10" t="n">
        <x:v>45808</x:v>
      </x:c>
      <x:c r="C517" t="str">
        <x:v>P008</x:v>
      </x:c>
      <x:c r="D517" t="str">
        <x:v>Webcam</x:v>
      </x:c>
      <x:c r="E517" t="str">
        <x:v>Electronics</x:v>
      </x:c>
      <x:c r="F517" t="str">
        <x:v>North</x:v>
      </x:c>
      <x:c r="G517" t="str">
        <x:v>Online</x:v>
      </x:c>
      <x:c r="H517" t="str">
        <x:v>Completed</x:v>
      </x:c>
      <x:c r="I517" t="n">
        <x:v>3</x:v>
      </x:c>
      <x:c r="J517" s="12" t="n">
        <x:v>89.19</x:v>
      </x:c>
      <x:c r="K517" s="12" t="n">
        <x:v>41.7</x:v>
      </x:c>
      <x:c r="L517" s="14" t="n">
        <x:v>0.15</x:v>
      </x:c>
      <x:c r="M517" s="12" t="n">
        <x:f>IF(H517="Completed",I517*J517*(1-L517),0)</x:f>
        <x:v>227.43449999999999</x:v>
      </x:c>
      <x:c r="N517" s="12" t="n">
        <x:f>IF(H517="Completed",I517*K517,0)</x:f>
        <x:v>125.10000000000001</x:v>
      </x:c>
      <x:c r="O517" s="12" t="n">
        <x:f>M517-N517</x:f>
        <x:v>102.33449999999998</x:v>
      </x:c>
      <x:c r="P517" s="16" t="n">
        <x:f>IFERROR(O517/M517,0)</x:f>
        <x:v>0.44995152450485737</x:v>
      </x:c>
      <x:c r="Q517" t="n">
        <x:f>YEAR(B517)</x:f>
        <x:v>2025</x:v>
      </x:c>
      <x:c r="R517" t="str">
        <x:f>TEXT(B517,"yyyy-mm")</x:f>
        <x:v>2025-05</x:v>
      </x:c>
    </x:row>
    <x:row r="518">
      <x:c r="A518" t="n">
        <x:v>10450</x:v>
      </x:c>
      <x:c r="B518" s="10" t="n">
        <x:v>45808</x:v>
      </x:c>
      <x:c r="C518" t="str">
        <x:v>P007</x:v>
      </x:c>
      <x:c r="D518" t="str">
        <x:v>Headset</x:v>
      </x:c>
      <x:c r="E518" t="str">
        <x:v>Accessories</x:v>
      </x:c>
      <x:c r="F518" t="str">
        <x:v>Wales</x:v>
      </x:c>
      <x:c r="G518" t="str">
        <x:v>Partner</x:v>
      </x:c>
      <x:c r="H518" t="str">
        <x:v>Completed</x:v>
      </x:c>
      <x:c r="I518" t="n">
        <x:v>4</x:v>
      </x:c>
      <x:c r="J518" s="12" t="n">
        <x:v>71.85</x:v>
      </x:c>
      <x:c r="K518" s="12" t="n">
        <x:v>34.9</x:v>
      </x:c>
      <x:c r="L518" s="14" t="n">
        <x:v>0</x:v>
      </x:c>
      <x:c r="M518" s="12" t="n">
        <x:f>IF(H518="Completed",I518*J518*(1-L518),0)</x:f>
        <x:v>287.4</x:v>
      </x:c>
      <x:c r="N518" s="12" t="n">
        <x:f>IF(H518="Completed",I518*K518,0)</x:f>
        <x:v>139.6</x:v>
      </x:c>
      <x:c r="O518" s="12" t="n">
        <x:f>M518-N518</x:f>
        <x:v>147.79999999999998</x:v>
      </x:c>
      <x:c r="P518" s="16" t="n">
        <x:f>IFERROR(O518/M518,0)</x:f>
        <x:v>0.5142658315935977</x:v>
      </x:c>
      <x:c r="Q518" t="n">
        <x:f>YEAR(B518)</x:f>
        <x:v>2025</x:v>
      </x:c>
      <x:c r="R518" t="str">
        <x:f>TEXT(B518,"yyyy-mm")</x:f>
        <x:v>2025-05</x:v>
      </x:c>
    </x:row>
    <x:row r="519">
      <x:c r="A519" t="n">
        <x:v>10575</x:v>
      </x:c>
      <x:c r="B519" s="10" t="n">
        <x:v>45808</x:v>
      </x:c>
      <x:c r="C519" t="str">
        <x:v>P006</x:v>
      </x:c>
      <x:c r="D519" t="str">
        <x:v>Chair</x:v>
      </x:c>
      <x:c r="E519" t="str">
        <x:v>Furniture</x:v>
      </x:c>
      <x:c r="F519" t="str">
        <x:v>South</x:v>
      </x:c>
      <x:c r="G519" t="str">
        <x:v>Retail</x:v>
      </x:c>
      <x:c r="H519" t="str">
        <x:v>Completed</x:v>
      </x:c>
      <x:c r="I519" t="n">
        <x:v>2</x:v>
      </x:c>
      <x:c r="J519" s="12" t="n">
        <x:v>136.15</x:v>
      </x:c>
      <x:c r="K519" s="12" t="n">
        <x:v>70.03</x:v>
      </x:c>
      <x:c r="L519" s="14" t="n">
        <x:v>0</x:v>
      </x:c>
      <x:c r="M519" s="12" t="n">
        <x:f>IF(H519="Completed",I519*J519*(1-L519),0)</x:f>
        <x:v>272.3</x:v>
      </x:c>
      <x:c r="N519" s="12" t="n">
        <x:f>IF(H519="Completed",I519*K519,0)</x:f>
        <x:v>140.06</x:v>
      </x:c>
      <x:c r="O519" s="12" t="n">
        <x:f>M519-N519</x:f>
        <x:v>132.24</x:v>
      </x:c>
      <x:c r="P519" s="16" t="n">
        <x:f>IFERROR(O519/M519,0)</x:f>
        <x:v>0.4856408373117885</x:v>
      </x:c>
      <x:c r="Q519" t="n">
        <x:f>YEAR(B519)</x:f>
        <x:v>2025</x:v>
      </x:c>
      <x:c r="R519" t="str">
        <x:f>TEXT(B519,"yyyy-mm")</x:f>
        <x:v>2025-05</x:v>
      </x:c>
    </x:row>
    <x:row r="520">
      <x:c r="A520" t="n">
        <x:v>10905</x:v>
      </x:c>
      <x:c r="B520" s="10" t="n">
        <x:v>45808</x:v>
      </x:c>
      <x:c r="C520" t="str">
        <x:v>P006</x:v>
      </x:c>
      <x:c r="D520" t="str">
        <x:v>Chair</x:v>
      </x:c>
      <x:c r="E520" t="str">
        <x:v>Furniture</x:v>
      </x:c>
      <x:c r="F520" t="str">
        <x:v>South</x:v>
      </x:c>
      <x:c r="G520" t="str">
        <x:v>Partner</x:v>
      </x:c>
      <x:c r="H520" t="str">
        <x:v>Completed</x:v>
      </x:c>
      <x:c r="I520" t="n">
        <x:v>3</x:v>
      </x:c>
      <x:c r="J520" s="12" t="n">
        <x:v>133.27</x:v>
      </x:c>
      <x:c r="K520" s="12" t="n">
        <x:v>69.98</x:v>
      </x:c>
      <x:c r="L520" s="14" t="n">
        <x:v>0</x:v>
      </x:c>
      <x:c r="M520" s="12" t="n">
        <x:f>IF(H520="Completed",I520*J520*(1-L520),0)</x:f>
        <x:v>399.81000000000006</x:v>
      </x:c>
      <x:c r="N520" s="12" t="n">
        <x:f>IF(H520="Completed",I520*K520,0)</x:f>
        <x:v>209.94</x:v>
      </x:c>
      <x:c r="O520" s="12" t="n">
        <x:f>M520-N520</x:f>
        <x:v>189.87000000000006</x:v>
      </x:c>
      <x:c r="P520" s="16" t="n">
        <x:f>IFERROR(O520/M520,0)</x:f>
        <x:v>0.47490057777444294</x:v>
      </x:c>
      <x:c r="Q520" t="n">
        <x:f>YEAR(B520)</x:f>
        <x:v>2025</x:v>
      </x:c>
      <x:c r="R520" t="str">
        <x:f>TEXT(B520,"yyyy-mm")</x:f>
        <x:v>2025-05</x:v>
      </x:c>
    </x:row>
    <x:row r="521">
      <x:c r="A521" t="n">
        <x:v>10037</x:v>
      </x:c>
      <x:c r="B521" s="10" t="n">
        <x:v>45809</x:v>
      </x:c>
      <x:c r="C521" t="str">
        <x:v>P008</x:v>
      </x:c>
      <x:c r="D521" t="str">
        <x:v>Webcam</x:v>
      </x:c>
      <x:c r="E521" t="str">
        <x:v>Electronics</x:v>
      </x:c>
      <x:c r="F521" t="str">
        <x:v>Wales</x:v>
      </x:c>
      <x:c r="G521" t="str">
        <x:v>Retail</x:v>
      </x:c>
      <x:c r="H521" t="str">
        <x:v>Completed</x:v>
      </x:c>
      <x:c r="I521" t="n">
        <x:v>3</x:v>
      </x:c>
      <x:c r="J521" s="12" t="n">
        <x:v>88.97</x:v>
      </x:c>
      <x:c r="K521" s="12" t="n">
        <x:v>41.74</x:v>
      </x:c>
      <x:c r="L521" s="14" t="n">
        <x:v>0.15</x:v>
      </x:c>
      <x:c r="M521" s="12" t="n">
        <x:f>IF(H521="Completed",I521*J521*(1-L521),0)</x:f>
        <x:v>226.87349999999998</x:v>
      </x:c>
      <x:c r="N521" s="12" t="n">
        <x:f>IF(H521="Completed",I521*K521,0)</x:f>
        <x:v>125.22</x:v>
      </x:c>
      <x:c r="O521" s="12" t="n">
        <x:f>M521-N521</x:f>
        <x:v>101.65349999999998</x:v>
      </x:c>
      <x:c r="P521" s="16" t="n">
        <x:f>IFERROR(O521/M521,0)</x:f>
        <x:v>0.4480624665287043</x:v>
      </x:c>
      <x:c r="Q521" t="n">
        <x:f>YEAR(B521)</x:f>
        <x:v>2025</x:v>
      </x:c>
      <x:c r="R521" t="str">
        <x:f>TEXT(B521,"yyyy-mm")</x:f>
        <x:v>2025-06</x:v>
      </x:c>
    </x:row>
    <x:row r="522">
      <x:c r="A522" t="n">
        <x:v>10209</x:v>
      </x:c>
      <x:c r="B522" s="10" t="n">
        <x:v>45809</x:v>
      </x:c>
      <x:c r="C522" t="str">
        <x:v>P008</x:v>
      </x:c>
      <x:c r="D522" t="str">
        <x:v>Webcam</x:v>
      </x:c>
      <x:c r="E522" t="str">
        <x:v>Electronics</x:v>
      </x:c>
      <x:c r="F522" t="str">
        <x:v>North</x:v>
      </x:c>
      <x:c r="G522" t="str">
        <x:v>Online</x:v>
      </x:c>
      <x:c r="H522" t="str">
        <x:v>Completed</x:v>
      </x:c>
      <x:c r="I522" t="n">
        <x:v>2</x:v>
      </x:c>
      <x:c r="J522" s="12" t="n">
        <x:v>89.41</x:v>
      </x:c>
      <x:c r="K522" s="12" t="n">
        <x:v>43.01</x:v>
      </x:c>
      <x:c r="L522" s="14" t="n">
        <x:v>0</x:v>
      </x:c>
      <x:c r="M522" s="12" t="n">
        <x:f>IF(H522="Completed",I522*J522*(1-L522),0)</x:f>
        <x:v>178.82</x:v>
      </x:c>
      <x:c r="N522" s="12" t="n">
        <x:f>IF(H522="Completed",I522*K522,0)</x:f>
        <x:v>86.02</x:v>
      </x:c>
      <x:c r="O522" s="12" t="n">
        <x:f>M522-N522</x:f>
        <x:v>92.8</x:v>
      </x:c>
      <x:c r="P522" s="16" t="n">
        <x:f>IFERROR(O522/M522,0)</x:f>
        <x:v>0.5189576110054803</x:v>
      </x:c>
      <x:c r="Q522" t="n">
        <x:f>YEAR(B522)</x:f>
        <x:v>2025</x:v>
      </x:c>
      <x:c r="R522" t="str">
        <x:f>TEXT(B522,"yyyy-mm")</x:f>
        <x:v>2025-06</x:v>
      </x:c>
    </x:row>
    <x:row r="523">
      <x:c r="A523" t="n">
        <x:v>10439</x:v>
      </x:c>
      <x:c r="B523" s="10" t="n">
        <x:v>45809</x:v>
      </x:c>
      <x:c r="C523" t="str">
        <x:v>P008</x:v>
      </x:c>
      <x:c r="D523" t="str">
        <x:v>Webcam</x:v>
      </x:c>
      <x:c r="E523" t="str">
        <x:v>Electronics</x:v>
      </x:c>
      <x:c r="F523" t="str">
        <x:v>Scotland</x:v>
      </x:c>
      <x:c r="G523" t="str">
        <x:v>Online</x:v>
      </x:c>
      <x:c r="H523" t="str">
        <x:v>Completed</x:v>
      </x:c>
      <x:c r="I523" t="n">
        <x:v>4</x:v>
      </x:c>
      <x:c r="J523" s="12" t="n">
        <x:v>87.83</x:v>
      </x:c>
      <x:c r="K523" s="12" t="n">
        <x:v>43.2</x:v>
      </x:c>
      <x:c r="L523" s="14" t="n">
        <x:v>0</x:v>
      </x:c>
      <x:c r="M523" s="12" t="n">
        <x:f>IF(H523="Completed",I523*J523*(1-L523),0)</x:f>
        <x:v>351.32</x:v>
      </x:c>
      <x:c r="N523" s="12" t="n">
        <x:f>IF(H523="Completed",I523*K523,0)</x:f>
        <x:v>172.8</x:v>
      </x:c>
      <x:c r="O523" s="12" t="n">
        <x:f>M523-N523</x:f>
        <x:v>178.51999999999998</x:v>
      </x:c>
      <x:c r="P523" s="16" t="n">
        <x:f>IFERROR(O523/M523,0)</x:f>
        <x:v>0.508140726403279</x:v>
      </x:c>
      <x:c r="Q523" t="n">
        <x:f>YEAR(B523)</x:f>
        <x:v>2025</x:v>
      </x:c>
      <x:c r="R523" t="str">
        <x:f>TEXT(B523,"yyyy-mm")</x:f>
        <x:v>2025-06</x:v>
      </x:c>
    </x:row>
    <x:row r="524">
      <x:c r="A524" t="n">
        <x:v>10739</x:v>
      </x:c>
      <x:c r="B524" s="10" t="n">
        <x:v>45811</x:v>
      </x:c>
      <x:c r="C524" t="str">
        <x:v>P006</x:v>
      </x:c>
      <x:c r="D524" t="str">
        <x:v>Chair</x:v>
      </x:c>
      <x:c r="E524" t="str">
        <x:v>Furniture</x:v>
      </x:c>
      <x:c r="F524" t="str">
        <x:v>South</x:v>
      </x:c>
      <x:c r="G524" t="str">
        <x:v>Online</x:v>
      </x:c>
      <x:c r="H524" t="str">
        <x:v>Cancelled</x:v>
      </x:c>
      <x:c r="I524" t="n">
        <x:v>3</x:v>
      </x:c>
      <x:c r="J524" s="12" t="n">
        <x:v>132.34</x:v>
      </x:c>
      <x:c r="K524" s="12" t="n">
        <x:v>68.56</x:v>
      </x:c>
      <x:c r="L524" s="14" t="n">
        <x:v>0.15</x:v>
      </x:c>
      <x:c r="M524" s="12" t="n">
        <x:f>IF(H524="Completed",I524*J524*(1-L524),0)</x:f>
        <x:v>0</x:v>
      </x:c>
      <x:c r="N524" s="12" t="n">
        <x:f>IF(H524="Completed",I524*K524,0)</x:f>
        <x:v>0</x:v>
      </x:c>
      <x:c r="O524" s="12" t="n">
        <x:f>M524-N524</x:f>
        <x:v>0</x:v>
      </x:c>
      <x:c r="P524" s="16" t="n">
        <x:f>IFERROR(O524/M524,0)</x:f>
        <x:v>0</x:v>
      </x:c>
      <x:c r="Q524" t="n">
        <x:f>YEAR(B524)</x:f>
        <x:v>2025</x:v>
      </x:c>
      <x:c r="R524" t="str">
        <x:f>TEXT(B524,"yyyy-mm")</x:f>
        <x:v>2025-06</x:v>
      </x:c>
    </x:row>
    <x:row r="525">
      <x:c r="A525" t="n">
        <x:v>10449</x:v>
      </x:c>
      <x:c r="B525" s="10" t="n">
        <x:v>45812</x:v>
      </x:c>
      <x:c r="C525" t="str">
        <x:v>P003</x:v>
      </x:c>
      <x:c r="D525" t="str">
        <x:v>Keyboard</x:v>
      </x:c>
      <x:c r="E525" t="str">
        <x:v>Accessories</x:v>
      </x:c>
      <x:c r="F525" t="str">
        <x:v>South</x:v>
      </x:c>
      <x:c r="G525" t="str">
        <x:v>Online</x:v>
      </x:c>
      <x:c r="H525" t="str">
        <x:v>Completed</x:v>
      </x:c>
      <x:c r="I525" t="n">
        <x:v>2</x:v>
      </x:c>
      <x:c r="J525" s="12" t="n">
        <x:v>49.59</x:v>
      </x:c>
      <x:c r="K525" s="12" t="n">
        <x:v>26.63</x:v>
      </x:c>
      <x:c r="L525" s="14" t="n">
        <x:v>0.15</x:v>
      </x:c>
      <x:c r="M525" s="12" t="n">
        <x:f>IF(H525="Completed",I525*J525*(1-L525),0)</x:f>
        <x:v>84.303</x:v>
      </x:c>
      <x:c r="N525" s="12" t="n">
        <x:f>IF(H525="Completed",I525*K525,0)</x:f>
        <x:v>53.26</x:v>
      </x:c>
      <x:c r="O525" s="12" t="n">
        <x:f>M525-N525</x:f>
        <x:v>31.043</x:v>
      </x:c>
      <x:c r="P525" s="16" t="n">
        <x:f>IFERROR(O525/M525,0)</x:f>
        <x:v>0.36823126104646337</x:v>
      </x:c>
      <x:c r="Q525" t="n">
        <x:f>YEAR(B525)</x:f>
        <x:v>2025</x:v>
      </x:c>
      <x:c r="R525" t="str">
        <x:f>TEXT(B525,"yyyy-mm")</x:f>
        <x:v>2025-06</x:v>
      </x:c>
    </x:row>
    <x:row r="526">
      <x:c r="A526" t="n">
        <x:v>10743</x:v>
      </x:c>
      <x:c r="B526" s="10" t="n">
        <x:v>45816</x:v>
      </x:c>
      <x:c r="C526" t="str">
        <x:v>P007</x:v>
      </x:c>
      <x:c r="D526" t="str">
        <x:v>Headset</x:v>
      </x:c>
      <x:c r="E526" t="str">
        <x:v>Accessories</x:v>
      </x:c>
      <x:c r="F526" t="str">
        <x:v>South</x:v>
      </x:c>
      <x:c r="G526" t="str">
        <x:v>Retail</x:v>
      </x:c>
      <x:c r="H526" t="str">
        <x:v>Cancelled</x:v>
      </x:c>
      <x:c r="I526" t="n">
        <x:v>2</x:v>
      </x:c>
      <x:c r="J526" s="12" t="n">
        <x:v>74.42</x:v>
      </x:c>
      <x:c r="K526" s="12" t="n">
        <x:v>34.93</x:v>
      </x:c>
      <x:c r="L526" s="14" t="n">
        <x:v>0</x:v>
      </x:c>
      <x:c r="M526" s="12" t="n">
        <x:f>IF(H526="Completed",I526*J526*(1-L526),0)</x:f>
        <x:v>0</x:v>
      </x:c>
      <x:c r="N526" s="12" t="n">
        <x:f>IF(H526="Completed",I526*K526,0)</x:f>
        <x:v>0</x:v>
      </x:c>
      <x:c r="O526" s="12" t="n">
        <x:f>M526-N526</x:f>
        <x:v>0</x:v>
      </x:c>
      <x:c r="P526" s="16" t="n">
        <x:f>IFERROR(O526/M526,0)</x:f>
        <x:v>0</x:v>
      </x:c>
      <x:c r="Q526" t="n">
        <x:f>YEAR(B526)</x:f>
        <x:v>2025</x:v>
      </x:c>
      <x:c r="R526" t="str">
        <x:f>TEXT(B526,"yyyy-mm")</x:f>
        <x:v>2025-06</x:v>
      </x:c>
    </x:row>
    <x:row r="527">
      <x:c r="A527" t="n">
        <x:v>10946</x:v>
      </x:c>
      <x:c r="B527" s="10" t="n">
        <x:v>45816</x:v>
      </x:c>
      <x:c r="C527" t="str">
        <x:v>P006</x:v>
      </x:c>
      <x:c r="D527" t="str">
        <x:v>Chair</x:v>
      </x:c>
      <x:c r="E527" t="str">
        <x:v>Furniture</x:v>
      </x:c>
      <x:c r="F527" t="str">
        <x:v>Midlands</x:v>
      </x:c>
      <x:c r="G527" t="str">
        <x:v>Online</x:v>
      </x:c>
      <x:c r="H527" t="str">
        <x:v>Completed</x:v>
      </x:c>
      <x:c r="I527" t="n">
        <x:v>4</x:v>
      </x:c>
      <x:c r="J527" s="12" t="n">
        <x:v>133.95</x:v>
      </x:c>
      <x:c r="K527" s="12" t="n">
        <x:v>67.94</x:v>
      </x:c>
      <x:c r="L527" s="14" t="n">
        <x:v>0.05</x:v>
      </x:c>
      <x:c r="M527" s="12" t="n">
        <x:f>IF(H527="Completed",I527*J527*(1-L527),0)</x:f>
        <x:v>509.00999999999993</x:v>
      </x:c>
      <x:c r="N527" s="12" t="n">
        <x:f>IF(H527="Completed",I527*K527,0)</x:f>
        <x:v>271.76</x:v>
      </x:c>
      <x:c r="O527" s="12" t="n">
        <x:f>M527-N527</x:f>
        <x:v>237.24999999999994</x:v>
      </x:c>
      <x:c r="P527" s="16" t="n">
        <x:f>IFERROR(O527/M527,0)</x:f>
        <x:v>0.4661008624584978</x:v>
      </x:c>
      <x:c r="Q527" t="n">
        <x:f>YEAR(B527)</x:f>
        <x:v>2025</x:v>
      </x:c>
      <x:c r="R527" t="str">
        <x:f>TEXT(B527,"yyyy-mm")</x:f>
        <x:v>2025-06</x:v>
      </x:c>
    </x:row>
    <x:row r="528">
      <x:c r="A528" t="n">
        <x:v>10354</x:v>
      </x:c>
      <x:c r="B528" s="10" t="n">
        <x:v>45817</x:v>
      </x:c>
      <x:c r="C528" t="str">
        <x:v>P001</x:v>
      </x:c>
      <x:c r="D528" t="str">
        <x:v>Laptop</x:v>
      </x:c>
      <x:c r="E528" t="str">
        <x:v>Electronics</x:v>
      </x:c>
      <x:c r="F528" t="str">
        <x:v>Midlands</x:v>
      </x:c>
      <x:c r="G528" t="str">
        <x:v>Partner</x:v>
      </x:c>
      <x:c r="H528" t="str">
        <x:v>Completed</x:v>
      </x:c>
      <x:c r="I528" t="n">
        <x:v>3</x:v>
      </x:c>
      <x:c r="J528" s="12" t="n">
        <x:v>947.44</x:v>
      </x:c>
      <x:c r="K528" s="12" t="n">
        <x:v>624.83</x:v>
      </x:c>
      <x:c r="L528" s="14" t="n">
        <x:v>0.05</x:v>
      </x:c>
      <x:c r="M528" s="12" t="n">
        <x:f>IF(H528="Completed",I528*J528*(1-L528),0)</x:f>
        <x:v>2700.204</x:v>
      </x:c>
      <x:c r="N528" s="12" t="n">
        <x:f>IF(H528="Completed",I528*K528,0)</x:f>
        <x:v>1874.4900000000002</x:v>
      </x:c>
      <x:c r="O528" s="12" t="n">
        <x:f>M528-N528</x:f>
        <x:v>825.7139999999999</x:v>
      </x:c>
      <x:c r="P528" s="16" t="n">
        <x:f>IFERROR(O528/M528,0)</x:f>
        <x:v>0.30579689534568494</x:v>
      </x:c>
      <x:c r="Q528" t="n">
        <x:f>YEAR(B528)</x:f>
        <x:v>2025</x:v>
      </x:c>
      <x:c r="R528" t="str">
        <x:f>TEXT(B528,"yyyy-mm")</x:f>
        <x:v>2025-06</x:v>
      </x:c>
    </x:row>
    <x:row r="529">
      <x:c r="A529" t="n">
        <x:v>10917</x:v>
      </x:c>
      <x:c r="B529" s="10" t="n">
        <x:v>45821</x:v>
      </x:c>
      <x:c r="C529" t="str">
        <x:v>P001</x:v>
      </x:c>
      <x:c r="D529" t="str">
        <x:v>Laptop</x:v>
      </x:c>
      <x:c r="E529" t="str">
        <x:v>Electronics</x:v>
      </x:c>
      <x:c r="F529" t="str">
        <x:v>North</x:v>
      </x:c>
      <x:c r="G529" t="str">
        <x:v>Partner</x:v>
      </x:c>
      <x:c r="H529" t="str">
        <x:v>Cancelled</x:v>
      </x:c>
      <x:c r="I529" t="n">
        <x:v>2</x:v>
      </x:c>
      <x:c r="J529" s="12" t="n">
        <x:v>912.77</x:v>
      </x:c>
      <x:c r="K529" s="12" t="n">
        <x:v>619.75</x:v>
      </x:c>
      <x:c r="L529" s="14" t="n">
        <x:v>0.05</x:v>
      </x:c>
      <x:c r="M529" s="12" t="n">
        <x:f>IF(H529="Completed",I529*J529*(1-L529),0)</x:f>
        <x:v>0</x:v>
      </x:c>
      <x:c r="N529" s="12" t="n">
        <x:f>IF(H529="Completed",I529*K529,0)</x:f>
        <x:v>0</x:v>
      </x:c>
      <x:c r="O529" s="12" t="n">
        <x:f>M529-N529</x:f>
        <x:v>0</x:v>
      </x:c>
      <x:c r="P529" s="16" t="n">
        <x:f>IFERROR(O529/M529,0)</x:f>
        <x:v>0</x:v>
      </x:c>
      <x:c r="Q529" t="n">
        <x:f>YEAR(B529)</x:f>
        <x:v>2025</x:v>
      </x:c>
      <x:c r="R529" t="str">
        <x:f>TEXT(B529,"yyyy-mm")</x:f>
        <x:v>2025-06</x:v>
      </x:c>
    </x:row>
    <x:row r="530">
      <x:c r="A530" t="n">
        <x:v>10425</x:v>
      </x:c>
      <x:c r="B530" s="10" t="n">
        <x:v>45824</x:v>
      </x:c>
      <x:c r="C530" t="str">
        <x:v>P005</x:v>
      </x:c>
      <x:c r="D530" t="str">
        <x:v>Desk</x:v>
      </x:c>
      <x:c r="E530" t="str">
        <x:v>Furniture</x:v>
      </x:c>
      <x:c r="F530" t="str">
        <x:v>Midlands</x:v>
      </x:c>
      <x:c r="G530" t="str">
        <x:v>Partner</x:v>
      </x:c>
      <x:c r="H530" t="str">
        <x:v>Cancelled</x:v>
      </x:c>
      <x:c r="I530" t="n">
        <x:v>2</x:v>
      </x:c>
      <x:c r="J530" s="12" t="n">
        <x:v>278.64</x:v>
      </x:c>
      <x:c r="K530" s="12" t="n">
        <x:v>154.09</x:v>
      </x:c>
      <x:c r="L530" s="14" t="n">
        <x:v>0.15</x:v>
      </x:c>
      <x:c r="M530" s="12" t="n">
        <x:f>IF(H530="Completed",I530*J530*(1-L530),0)</x:f>
        <x:v>0</x:v>
      </x:c>
      <x:c r="N530" s="12" t="n">
        <x:f>IF(H530="Completed",I530*K530,0)</x:f>
        <x:v>0</x:v>
      </x:c>
      <x:c r="O530" s="12" t="n">
        <x:f>M530-N530</x:f>
        <x:v>0</x:v>
      </x:c>
      <x:c r="P530" s="16" t="n">
        <x:f>IFERROR(O530/M530,0)</x:f>
        <x:v>0</x:v>
      </x:c>
      <x:c r="Q530" t="n">
        <x:f>YEAR(B530)</x:f>
        <x:v>2025</x:v>
      </x:c>
      <x:c r="R530" t="str">
        <x:f>TEXT(B530,"yyyy-mm")</x:f>
        <x:v>2025-06</x:v>
      </x:c>
    </x:row>
    <x:row r="531">
      <x:c r="A531" t="n">
        <x:v>10073</x:v>
      </x:c>
      <x:c r="B531" s="10" t="n">
        <x:v>45826</x:v>
      </x:c>
      <x:c r="C531" t="str">
        <x:v>P005</x:v>
      </x:c>
      <x:c r="D531" t="str">
        <x:v>Desk</x:v>
      </x:c>
      <x:c r="E531" t="str">
        <x:v>Furniture</x:v>
      </x:c>
      <x:c r="F531" t="str">
        <x:v>South</x:v>
      </x:c>
      <x:c r="G531" t="str">
        <x:v>Retail</x:v>
      </x:c>
      <x:c r="H531" t="str">
        <x:v>Cancelled</x:v>
      </x:c>
      <x:c r="I531" t="n">
        <x:v>4</x:v>
      </x:c>
      <x:c r="J531" s="12" t="n">
        <x:v>272.95</x:v>
      </x:c>
      <x:c r="K531" s="12" t="n">
        <x:v>153.8</x:v>
      </x:c>
      <x:c r="L531" s="14" t="n">
        <x:v>0</x:v>
      </x:c>
      <x:c r="M531" s="12" t="n">
        <x:f>IF(H531="Completed",I531*J531*(1-L531),0)</x:f>
        <x:v>0</x:v>
      </x:c>
      <x:c r="N531" s="12" t="n">
        <x:f>IF(H531="Completed",I531*K531,0)</x:f>
        <x:v>0</x:v>
      </x:c>
      <x:c r="O531" s="12" t="n">
        <x:f>M531-N531</x:f>
        <x:v>0</x:v>
      </x:c>
      <x:c r="P531" s="16" t="n">
        <x:f>IFERROR(O531/M531,0)</x:f>
        <x:v>0</x:v>
      </x:c>
      <x:c r="Q531" t="n">
        <x:f>YEAR(B531)</x:f>
        <x:v>2025</x:v>
      </x:c>
      <x:c r="R531" t="str">
        <x:f>TEXT(B531,"yyyy-mm")</x:f>
        <x:v>2025-06</x:v>
      </x:c>
    </x:row>
    <x:row r="532">
      <x:c r="A532" t="n">
        <x:v>10628</x:v>
      </x:c>
      <x:c r="B532" s="10" t="n">
        <x:v>45830</x:v>
      </x:c>
      <x:c r="C532" t="str">
        <x:v>P006</x:v>
      </x:c>
      <x:c r="D532" t="str">
        <x:v>Chair</x:v>
      </x:c>
      <x:c r="E532" t="str">
        <x:v>Furniture</x:v>
      </x:c>
      <x:c r="F532" t="str">
        <x:v>South</x:v>
      </x:c>
      <x:c r="G532" t="str">
        <x:v>Online</x:v>
      </x:c>
      <x:c r="H532" t="str">
        <x:v>Completed</x:v>
      </x:c>
      <x:c r="I532" t="n">
        <x:v>2</x:v>
      </x:c>
      <x:c r="J532" s="12" t="n">
        <x:v>138.59</x:v>
      </x:c>
      <x:c r="K532" s="12" t="n">
        <x:v>69.64</x:v>
      </x:c>
      <x:c r="L532" s="14" t="n">
        <x:v>0.05</x:v>
      </x:c>
      <x:c r="M532" s="12" t="n">
        <x:f>IF(H532="Completed",I532*J532*(1-L532),0)</x:f>
        <x:v>263.32099999999997</x:v>
      </x:c>
      <x:c r="N532" s="12" t="n">
        <x:f>IF(H532="Completed",I532*K532,0)</x:f>
        <x:v>139.28</x:v>
      </x:c>
      <x:c r="O532" s="12" t="n">
        <x:f>M532-N532</x:f>
        <x:v>124.04099999999997</x:v>
      </x:c>
      <x:c r="P532" s="16" t="n">
        <x:f>IFERROR(O532/M532,0)</x:f>
        <x:v>0.471063834635293</x:v>
      </x:c>
      <x:c r="Q532" t="n">
        <x:f>YEAR(B532)</x:f>
        <x:v>2025</x:v>
      </x:c>
      <x:c r="R532" t="str">
        <x:f>TEXT(B532,"yyyy-mm")</x:f>
        <x:v>2025-06</x:v>
      </x:c>
    </x:row>
    <x:row r="533">
      <x:c r="A533" t="n">
        <x:v>10883</x:v>
      </x:c>
      <x:c r="B533" s="10" t="n">
        <x:v>45833</x:v>
      </x:c>
      <x:c r="C533" t="str">
        <x:v>P002</x:v>
      </x:c>
      <x:c r="D533" t="str">
        <x:v>Monitor</x:v>
      </x:c>
      <x:c r="E533" t="str">
        <x:v>Electronics</x:v>
      </x:c>
      <x:c r="F533" t="str">
        <x:v>Midlands</x:v>
      </x:c>
      <x:c r="G533" t="str">
        <x:v>Online</x:v>
      </x:c>
      <x:c r="H533" t="str">
        <x:v>Completed</x:v>
      </x:c>
      <x:c r="I533" t="n">
        <x:v>2</x:v>
      </x:c>
      <x:c r="J533" s="12" t="n">
        <x:v>283.82</x:v>
      </x:c>
      <x:c r="K533" s="12" t="n">
        <x:v>174.69</x:v>
      </x:c>
      <x:c r="L533" s="14" t="n">
        <x:v>0.1</x:v>
      </x:c>
      <x:c r="M533" s="12" t="n">
        <x:f>IF(H533="Completed",I533*J533*(1-L533),0)</x:f>
        <x:v>510.876</x:v>
      </x:c>
      <x:c r="N533" s="12" t="n">
        <x:f>IF(H533="Completed",I533*K533,0)</x:f>
        <x:v>349.38</x:v>
      </x:c>
      <x:c r="O533" s="12" t="n">
        <x:f>M533-N533</x:f>
        <x:v>161.49599999999998</x:v>
      </x:c>
      <x:c r="P533" s="16" t="n">
        <x:f>IFERROR(O533/M533,0)</x:f>
        <x:v>0.31611584807272214</x:v>
      </x:c>
      <x:c r="Q533" t="n">
        <x:f>YEAR(B533)</x:f>
        <x:v>2025</x:v>
      </x:c>
      <x:c r="R533" t="str">
        <x:f>TEXT(B533,"yyyy-mm")</x:f>
        <x:v>2025-06</x:v>
      </x:c>
    </x:row>
    <x:row r="534">
      <x:c r="A534" t="n">
        <x:v>10677</x:v>
      </x:c>
      <x:c r="B534" s="10" t="n">
        <x:v>45834</x:v>
      </x:c>
      <x:c r="C534" t="str">
        <x:v>P001</x:v>
      </x:c>
      <x:c r="D534" t="str">
        <x:v>Laptop</x:v>
      </x:c>
      <x:c r="E534" t="str">
        <x:v>Electronics</x:v>
      </x:c>
      <x:c r="F534" t="str">
        <x:v>Wales</x:v>
      </x:c>
      <x:c r="G534" t="str">
        <x:v>Retail</x:v>
      </x:c>
      <x:c r="H534" t="str">
        <x:v>Completed</x:v>
      </x:c>
      <x:c r="I534" t="n">
        <x:v>1</x:v>
      </x:c>
      <x:c r="J534" s="12" t="n">
        <x:v>951.52</x:v>
      </x:c>
      <x:c r="K534" s="12" t="n">
        <x:v>634.21</x:v>
      </x:c>
      <x:c r="L534" s="14" t="n">
        <x:v>0.1</x:v>
      </x:c>
      <x:c r="M534" s="12" t="n">
        <x:f>IF(H534="Completed",I534*J534*(1-L534),0)</x:f>
        <x:v>856.368</x:v>
      </x:c>
      <x:c r="N534" s="12" t="n">
        <x:f>IF(H534="Completed",I534*K534,0)</x:f>
        <x:v>634.21</x:v>
      </x:c>
      <x:c r="O534" s="12" t="n">
        <x:f>M534-N534</x:f>
        <x:v>222.15800000000002</x:v>
      </x:c>
      <x:c r="P534" s="16" t="n">
        <x:f>IFERROR(O534/M534,0)</x:f>
        <x:v>0.25941884797189996</x:v>
      </x:c>
      <x:c r="Q534" t="n">
        <x:f>YEAR(B534)</x:f>
        <x:v>2025</x:v>
      </x:c>
      <x:c r="R534" t="str">
        <x:f>TEXT(B534,"yyyy-mm")</x:f>
        <x:v>2025-06</x:v>
      </x:c>
    </x:row>
    <x:row r="535">
      <x:c r="A535" t="n">
        <x:v>10057</x:v>
      </x:c>
      <x:c r="B535" s="10" t="n">
        <x:v>45835</x:v>
      </x:c>
      <x:c r="C535" t="str">
        <x:v>P006</x:v>
      </x:c>
      <x:c r="D535" t="str">
        <x:v>Chair</x:v>
      </x:c>
      <x:c r="E535" t="str">
        <x:v>Furniture</x:v>
      </x:c>
      <x:c r="F535" t="str">
        <x:v>South</x:v>
      </x:c>
      <x:c r="G535" t="str">
        <x:v>Retail</x:v>
      </x:c>
      <x:c r="H535" t="str">
        <x:v>Cancelled</x:v>
      </x:c>
      <x:c r="I535" t="n">
        <x:v>4</x:v>
      </x:c>
      <x:c r="J535" s="12" t="n">
        <x:v>138.8</x:v>
      </x:c>
      <x:c r="K535" s="12" t="n">
        <x:v>68.5</x:v>
      </x:c>
      <x:c r="L535" s="14" t="n">
        <x:v>0.05</x:v>
      </x:c>
      <x:c r="M535" s="12" t="n">
        <x:f>IF(H535="Completed",I535*J535*(1-L535),0)</x:f>
        <x:v>0</x:v>
      </x:c>
      <x:c r="N535" s="12" t="n">
        <x:f>IF(H535="Completed",I535*K535,0)</x:f>
        <x:v>0</x:v>
      </x:c>
      <x:c r="O535" s="12" t="n">
        <x:f>M535-N535</x:f>
        <x:v>0</x:v>
      </x:c>
      <x:c r="P535" s="16" t="n">
        <x:f>IFERROR(O535/M535,0)</x:f>
        <x:v>0</x:v>
      </x:c>
      <x:c r="Q535" t="n">
        <x:f>YEAR(B535)</x:f>
        <x:v>2025</x:v>
      </x:c>
      <x:c r="R535" t="str">
        <x:f>TEXT(B535,"yyyy-mm")</x:f>
        <x:v>2025-06</x:v>
      </x:c>
    </x:row>
    <x:row r="536">
      <x:c r="A536" t="n">
        <x:v>10135</x:v>
      </x:c>
      <x:c r="B536" s="10" t="n">
        <x:v>45835</x:v>
      </x:c>
      <x:c r="C536" t="str">
        <x:v>P005</x:v>
      </x:c>
      <x:c r="D536" t="str">
        <x:v>Desk</x:v>
      </x:c>
      <x:c r="E536" t="str">
        <x:v>Furniture</x:v>
      </x:c>
      <x:c r="F536" t="str">
        <x:v>South</x:v>
      </x:c>
      <x:c r="G536" t="str">
        <x:v>Online</x:v>
      </x:c>
      <x:c r="H536" t="str">
        <x:v>Completed</x:v>
      </x:c>
      <x:c r="I536" t="n">
        <x:v>4</x:v>
      </x:c>
      <x:c r="J536" s="12" t="n">
        <x:v>279.28</x:v>
      </x:c>
      <x:c r="K536" s="12" t="n">
        <x:v>157.86</x:v>
      </x:c>
      <x:c r="L536" s="14" t="n">
        <x:v>0.15</x:v>
      </x:c>
      <x:c r="M536" s="12" t="n">
        <x:f>IF(H536="Completed",I536*J536*(1-L536),0)</x:f>
        <x:v>949.5519999999999</x:v>
      </x:c>
      <x:c r="N536" s="12" t="n">
        <x:f>IF(H536="Completed",I536*K536,0)</x:f>
        <x:v>631.44</x:v>
      </x:c>
      <x:c r="O536" s="12" t="n">
        <x:f>M536-N536</x:f>
        <x:v>318.11199999999985</x:v>
      </x:c>
      <x:c r="P536" s="16" t="n">
        <x:f>IFERROR(O536/M536,0)</x:f>
        <x:v>0.3350127217888013</x:v>
      </x:c>
      <x:c r="Q536" t="n">
        <x:f>YEAR(B536)</x:f>
        <x:v>2025</x:v>
      </x:c>
      <x:c r="R536" t="str">
        <x:f>TEXT(B536,"yyyy-mm")</x:f>
        <x:v>2025-06</x:v>
      </x:c>
    </x:row>
    <x:row r="537">
      <x:c r="A537" t="n">
        <x:v>10325</x:v>
      </x:c>
      <x:c r="B537" s="10" t="n">
        <x:v>45835</x:v>
      </x:c>
      <x:c r="C537" t="str">
        <x:v>P001</x:v>
      </x:c>
      <x:c r="D537" t="str">
        <x:v>Laptop</x:v>
      </x:c>
      <x:c r="E537" t="str">
        <x:v>Electronics</x:v>
      </x:c>
      <x:c r="F537" t="str">
        <x:v>Midlands</x:v>
      </x:c>
      <x:c r="G537" t="str">
        <x:v>Retail</x:v>
      </x:c>
      <x:c r="H537" t="str">
        <x:v>Completed</x:v>
      </x:c>
      <x:c r="I537" t="n">
        <x:v>2</x:v>
      </x:c>
      <x:c r="J537" s="12" t="n">
        <x:v>932.08</x:v>
      </x:c>
      <x:c r="K537" s="12" t="n">
        <x:v>621.31</x:v>
      </x:c>
      <x:c r="L537" s="14" t="n">
        <x:v>0.05</x:v>
      </x:c>
      <x:c r="M537" s="12" t="n">
        <x:f>IF(H537="Completed",I537*J537*(1-L537),0)</x:f>
        <x:v>1770.952</x:v>
      </x:c>
      <x:c r="N537" s="12" t="n">
        <x:f>IF(H537="Completed",I537*K537,0)</x:f>
        <x:v>1242.62</x:v>
      </x:c>
      <x:c r="O537" s="12" t="n">
        <x:f>M537-N537</x:f>
        <x:v>528.3320000000001</x:v>
      </x:c>
      <x:c r="P537" s="16" t="n">
        <x:f>IFERROR(O537/M537,0)</x:f>
        <x:v>0.29833219646834025</x:v>
      </x:c>
      <x:c r="Q537" t="n">
        <x:f>YEAR(B537)</x:f>
        <x:v>2025</x:v>
      </x:c>
      <x:c r="R537" t="str">
        <x:f>TEXT(B537,"yyyy-mm")</x:f>
        <x:v>2025-06</x:v>
      </x:c>
    </x:row>
    <x:row r="538">
      <x:c r="A538" t="n">
        <x:v>10718</x:v>
      </x:c>
      <x:c r="B538" s="10" t="n">
        <x:v>45835</x:v>
      </x:c>
      <x:c r="C538" t="str">
        <x:v>P007</x:v>
      </x:c>
      <x:c r="D538" t="str">
        <x:v>Headset</x:v>
      </x:c>
      <x:c r="E538" t="str">
        <x:v>Accessories</x:v>
      </x:c>
      <x:c r="F538" t="str">
        <x:v>Scotland</x:v>
      </x:c>
      <x:c r="G538" t="str">
        <x:v>Retail</x:v>
      </x:c>
      <x:c r="H538" t="str">
        <x:v>Completed</x:v>
      </x:c>
      <x:c r="I538" t="n">
        <x:v>4</x:v>
      </x:c>
      <x:c r="J538" s="12" t="n">
        <x:v>72.34</x:v>
      </x:c>
      <x:c r="K538" s="12" t="n">
        <x:v>34.45</x:v>
      </x:c>
      <x:c r="L538" s="14" t="n">
        <x:v>0.05</x:v>
      </x:c>
      <x:c r="M538" s="12" t="n">
        <x:f>IF(H538="Completed",I538*J538*(1-L538),0)</x:f>
        <x:v>274.892</x:v>
      </x:c>
      <x:c r="N538" s="12" t="n">
        <x:f>IF(H538="Completed",I538*K538,0)</x:f>
        <x:v>137.8</x:v>
      </x:c>
      <x:c r="O538" s="12" t="n">
        <x:f>M538-N538</x:f>
        <x:v>137.09199999999998</x:v>
      </x:c>
      <x:c r="P538" s="16" t="n">
        <x:f>IFERROR(O538/M538,0)</x:f>
        <x:v>0.4987122215269996</x:v>
      </x:c>
      <x:c r="Q538" t="n">
        <x:f>YEAR(B538)</x:f>
        <x:v>2025</x:v>
      </x:c>
      <x:c r="R538" t="str">
        <x:f>TEXT(B538,"yyyy-mm")</x:f>
        <x:v>2025-06</x:v>
      </x:c>
    </x:row>
    <x:row r="539">
      <x:c r="A539" t="n">
        <x:v>10824</x:v>
      </x:c>
      <x:c r="B539" s="10" t="n">
        <x:v>45835</x:v>
      </x:c>
      <x:c r="C539" t="str">
        <x:v>P007</x:v>
      </x:c>
      <x:c r="D539" t="str">
        <x:v>Headset</x:v>
      </x:c>
      <x:c r="E539" t="str">
        <x:v>Accessories</x:v>
      </x:c>
      <x:c r="F539" t="str">
        <x:v>Midlands</x:v>
      </x:c>
      <x:c r="G539" t="str">
        <x:v>Online</x:v>
      </x:c>
      <x:c r="H539" t="str">
        <x:v>Completed</x:v>
      </x:c>
      <x:c r="I539" t="n">
        <x:v>2</x:v>
      </x:c>
      <x:c r="J539" s="12" t="n">
        <x:v>74.23</x:v>
      </x:c>
      <x:c r="K539" s="12" t="n">
        <x:v>35.76</x:v>
      </x:c>
      <x:c r="L539" s="14" t="n">
        <x:v>0.05</x:v>
      </x:c>
      <x:c r="M539" s="12" t="n">
        <x:f>IF(H539="Completed",I539*J539*(1-L539),0)</x:f>
        <x:v>141.037</x:v>
      </x:c>
      <x:c r="N539" s="12" t="n">
        <x:f>IF(H539="Completed",I539*K539,0)</x:f>
        <x:v>71.52</x:v>
      </x:c>
      <x:c r="O539" s="12" t="n">
        <x:f>M539-N539</x:f>
        <x:v>69.51700000000001</x:v>
      </x:c>
      <x:c r="P539" s="16" t="n">
        <x:f>IFERROR(O539/M539,0)</x:f>
        <x:v>0.4928990264965931</x:v>
      </x:c>
      <x:c r="Q539" t="n">
        <x:f>YEAR(B539)</x:f>
        <x:v>2025</x:v>
      </x:c>
      <x:c r="R539" t="str">
        <x:f>TEXT(B539,"yyyy-mm")</x:f>
        <x:v>2025-06</x:v>
      </x:c>
    </x:row>
    <x:row r="540">
      <x:c r="A540" t="n">
        <x:v>10728</x:v>
      </x:c>
      <x:c r="B540" s="10" t="n">
        <x:v>45837</x:v>
      </x:c>
      <x:c r="C540" t="str">
        <x:v>P005</x:v>
      </x:c>
      <x:c r="D540" t="str">
        <x:v>Desk</x:v>
      </x:c>
      <x:c r="E540" t="str">
        <x:v>Furniture</x:v>
      </x:c>
      <x:c r="F540" t="str">
        <x:v>South</x:v>
      </x:c>
      <x:c r="G540" t="str">
        <x:v>Retail</x:v>
      </x:c>
      <x:c r="H540" t="str">
        <x:v>Completed</x:v>
      </x:c>
      <x:c r="I540" t="n">
        <x:v>4</x:v>
      </x:c>
      <x:c r="J540" s="12" t="n">
        <x:v>283.92</x:v>
      </x:c>
      <x:c r="K540" s="12" t="n">
        <x:v>155.45</x:v>
      </x:c>
      <x:c r="L540" s="14" t="n">
        <x:v>0</x:v>
      </x:c>
      <x:c r="M540" s="12" t="n">
        <x:f>IF(H540="Completed",I540*J540*(1-L540),0)</x:f>
        <x:v>1135.68</x:v>
      </x:c>
      <x:c r="N540" s="12" t="n">
        <x:f>IF(H540="Completed",I540*K540,0)</x:f>
        <x:v>621.8</x:v>
      </x:c>
      <x:c r="O540" s="12" t="n">
        <x:f>M540-N540</x:f>
        <x:v>513.8800000000001</x:v>
      </x:c>
      <x:c r="P540" s="16" t="n">
        <x:f>IFERROR(O540/M540,0)</x:f>
        <x:v>0.4524866159481545</x:v>
      </x:c>
      <x:c r="Q540" t="n">
        <x:f>YEAR(B540)</x:f>
        <x:v>2025</x:v>
      </x:c>
      <x:c r="R540" t="str">
        <x:f>TEXT(B540,"yyyy-mm")</x:f>
        <x:v>2025-06</x:v>
      </x:c>
    </x:row>
    <x:row r="541">
      <x:c r="A541" t="n">
        <x:v>10201</x:v>
      </x:c>
      <x:c r="B541" s="10" t="n">
        <x:v>45838</x:v>
      </x:c>
      <x:c r="C541" t="str">
        <x:v>P002</x:v>
      </x:c>
      <x:c r="D541" t="str">
        <x:v>Monitor</x:v>
      </x:c>
      <x:c r="E541" t="str">
        <x:v>Electronics</x:v>
      </x:c>
      <x:c r="F541" t="str">
        <x:v>South</x:v>
      </x:c>
      <x:c r="G541" t="str">
        <x:v>Retail</x:v>
      </x:c>
      <x:c r="H541" t="str">
        <x:v>Completed</x:v>
      </x:c>
      <x:c r="I541" t="n">
        <x:v>2</x:v>
      </x:c>
      <x:c r="J541" s="12" t="n">
        <x:v>288.91</x:v>
      </x:c>
      <x:c r="K541" s="12" t="n">
        <x:v>174.27</x:v>
      </x:c>
      <x:c r="L541" s="14" t="n">
        <x:v>0.15</x:v>
      </x:c>
      <x:c r="M541" s="12" t="n">
        <x:f>IF(H541="Completed",I541*J541*(1-L541),0)</x:f>
        <x:v>491.14700000000005</x:v>
      </x:c>
      <x:c r="N541" s="12" t="n">
        <x:f>IF(H541="Completed",I541*K541,0)</x:f>
        <x:v>348.54</x:v>
      </x:c>
      <x:c r="O541" s="12" t="n">
        <x:f>M541-N541</x:f>
        <x:v>142.60700000000003</x:v>
      </x:c>
      <x:c r="P541" s="16" t="n">
        <x:f>IFERROR(O541/M541,0)</x:f>
        <x:v>0.2903550260919847</x:v>
      </x:c>
      <x:c r="Q541" t="n">
        <x:f>YEAR(B541)</x:f>
        <x:v>2025</x:v>
      </x:c>
      <x:c r="R541" t="str">
        <x:f>TEXT(B541,"yyyy-mm")</x:f>
        <x:v>2025-06</x:v>
      </x:c>
    </x:row>
    <x:row r="542">
      <x:c r="A542" t="n">
        <x:v>10878</x:v>
      </x:c>
      <x:c r="B542" s="10" t="n">
        <x:v>45838</x:v>
      </x:c>
      <x:c r="C542" t="str">
        <x:v>P004</x:v>
      </x:c>
      <x:c r="D542" t="str">
        <x:v>Mouse</x:v>
      </x:c>
      <x:c r="E542" t="str">
        <x:v>Accessories</x:v>
      </x:c>
      <x:c r="F542" t="str">
        <x:v>Midlands</x:v>
      </x:c>
      <x:c r="G542" t="str">
        <x:v>Retail</x:v>
      </x:c>
      <x:c r="H542" t="str">
        <x:v>Cancelled</x:v>
      </x:c>
      <x:c r="I542" t="n">
        <x:v>3</x:v>
      </x:c>
      <x:c r="J542" s="12" t="n">
        <x:v>26.45</x:v>
      </x:c>
      <x:c r="K542" s="12" t="n">
        <x:v>12.99</x:v>
      </x:c>
      <x:c r="L542" s="14" t="n">
        <x:v>0.15</x:v>
      </x:c>
      <x:c r="M542" s="12" t="n">
        <x:f>IF(H542="Completed",I542*J542*(1-L542),0)</x:f>
        <x:v>0</x:v>
      </x:c>
      <x:c r="N542" s="12" t="n">
        <x:f>IF(H542="Completed",I542*K542,0)</x:f>
        <x:v>0</x:v>
      </x:c>
      <x:c r="O542" s="12" t="n">
        <x:f>M542-N542</x:f>
        <x:v>0</x:v>
      </x:c>
      <x:c r="P542" s="16" t="n">
        <x:f>IFERROR(O542/M542,0)</x:f>
        <x:v>0</x:v>
      </x:c>
      <x:c r="Q542" t="n">
        <x:f>YEAR(B542)</x:f>
        <x:v>2025</x:v>
      </x:c>
      <x:c r="R542" t="str">
        <x:f>TEXT(B542,"yyyy-mm")</x:f>
        <x:v>2025-06</x:v>
      </x:c>
    </x:row>
    <x:row r="543">
      <x:c r="A543" t="n">
        <x:v>10846</x:v>
      </x:c>
      <x:c r="B543" s="10" t="n">
        <x:v>45839</x:v>
      </x:c>
      <x:c r="C543" t="str">
        <x:v>P001</x:v>
      </x:c>
      <x:c r="D543" t="str">
        <x:v>Laptop</x:v>
      </x:c>
      <x:c r="E543" t="str">
        <x:v>Electronics</x:v>
      </x:c>
      <x:c r="F543" t="str">
        <x:v>Midlands</x:v>
      </x:c>
      <x:c r="G543" t="str">
        <x:v>Online</x:v>
      </x:c>
      <x:c r="H543" t="str">
        <x:v>Completed</x:v>
      </x:c>
      <x:c r="I543" t="n">
        <x:v>1</x:v>
      </x:c>
      <x:c r="J543" s="12" t="n">
        <x:v>936.95</x:v>
      </x:c>
      <x:c r="K543" s="12" t="n">
        <x:v>634.53</x:v>
      </x:c>
      <x:c r="L543" s="14" t="n">
        <x:v>0.05</x:v>
      </x:c>
      <x:c r="M543" s="12" t="n">
        <x:f>IF(H543="Completed",I543*J543*(1-L543),0)</x:f>
        <x:v>890.1025</x:v>
      </x:c>
      <x:c r="N543" s="12" t="n">
        <x:f>IF(H543="Completed",I543*K543,0)</x:f>
        <x:v>634.53</x:v>
      </x:c>
      <x:c r="O543" s="12" t="n">
        <x:f>M543-N543</x:f>
        <x:v>255.5725</x:v>
      </x:c>
      <x:c r="P543" s="16" t="n">
        <x:f>IFERROR(O543/M543,0)</x:f>
        <x:v>0.287127044357251</x:v>
      </x:c>
      <x:c r="Q543" t="n">
        <x:f>YEAR(B543)</x:f>
        <x:v>2025</x:v>
      </x:c>
      <x:c r="R543" t="str">
        <x:f>TEXT(B543,"yyyy-mm")</x:f>
        <x:v>2025-07</x:v>
      </x:c>
    </x:row>
    <x:row r="544">
      <x:c r="A544" t="n">
        <x:v>10267</x:v>
      </x:c>
      <x:c r="B544" s="10" t="n">
        <x:v>45840</x:v>
      </x:c>
      <x:c r="C544" t="str">
        <x:v>P005</x:v>
      </x:c>
      <x:c r="D544" t="str">
        <x:v>Desk</x:v>
      </x:c>
      <x:c r="E544" t="str">
        <x:v>Furniture</x:v>
      </x:c>
      <x:c r="F544" t="str">
        <x:v>South</x:v>
      </x:c>
      <x:c r="G544" t="str">
        <x:v>Retail</x:v>
      </x:c>
      <x:c r="H544" t="str">
        <x:v>Completed</x:v>
      </x:c>
      <x:c r="I544" t="n">
        <x:v>1</x:v>
      </x:c>
      <x:c r="J544" s="12" t="n">
        <x:v>268.81</x:v>
      </x:c>
      <x:c r="K544" s="12" t="n">
        <x:v>152.65</x:v>
      </x:c>
      <x:c r="L544" s="14" t="n">
        <x:v>0</x:v>
      </x:c>
      <x:c r="M544" s="12" t="n">
        <x:f>IF(H544="Completed",I544*J544*(1-L544),0)</x:f>
        <x:v>268.81</x:v>
      </x:c>
      <x:c r="N544" s="12" t="n">
        <x:f>IF(H544="Completed",I544*K544,0)</x:f>
        <x:v>152.65</x:v>
      </x:c>
      <x:c r="O544" s="12" t="n">
        <x:f>M544-N544</x:f>
        <x:v>116.16</x:v>
      </x:c>
      <x:c r="P544" s="16" t="n">
        <x:f>IFERROR(O544/M544,0)</x:f>
        <x:v>0.4321267809977307</x:v>
      </x:c>
      <x:c r="Q544" t="n">
        <x:f>YEAR(B544)</x:f>
        <x:v>2025</x:v>
      </x:c>
      <x:c r="R544" t="str">
        <x:f>TEXT(B544,"yyyy-mm")</x:f>
        <x:v>2025-07</x:v>
      </x:c>
    </x:row>
    <x:row r="545">
      <x:c r="A545" t="n">
        <x:v>10121</x:v>
      </x:c>
      <x:c r="B545" s="10" t="n">
        <x:v>45841</x:v>
      </x:c>
      <x:c r="C545" t="str">
        <x:v>P002</x:v>
      </x:c>
      <x:c r="D545" t="str">
        <x:v>Monitor</x:v>
      </x:c>
      <x:c r="E545" t="str">
        <x:v>Electronics</x:v>
      </x:c>
      <x:c r="F545" t="str">
        <x:v>Midlands</x:v>
      </x:c>
      <x:c r="G545" t="str">
        <x:v>Retail</x:v>
      </x:c>
      <x:c r="H545" t="str">
        <x:v>Completed</x:v>
      </x:c>
      <x:c r="I545" t="n">
        <x:v>4</x:v>
      </x:c>
      <x:c r="J545" s="12" t="n">
        <x:v>284.05</x:v>
      </x:c>
      <x:c r="K545" s="12" t="n">
        <x:v>172.03</x:v>
      </x:c>
      <x:c r="L545" s="14" t="n">
        <x:v>0.1</x:v>
      </x:c>
      <x:c r="M545" s="12" t="n">
        <x:f>IF(H545="Completed",I545*J545*(1-L545),0)</x:f>
        <x:v>1022.58</x:v>
      </x:c>
      <x:c r="N545" s="12" t="n">
        <x:f>IF(H545="Completed",I545*K545,0)</x:f>
        <x:v>688.12</x:v>
      </x:c>
      <x:c r="O545" s="12" t="n">
        <x:f>M545-N545</x:f>
        <x:v>334.46000000000004</x:v>
      </x:c>
      <x:c r="P545" s="16" t="n">
        <x:f>IFERROR(O545/M545,0)</x:f>
        <x:v>0.3270746543057756</x:v>
      </x:c>
      <x:c r="Q545" t="n">
        <x:f>YEAR(B545)</x:f>
        <x:v>2025</x:v>
      </x:c>
      <x:c r="R545" t="str">
        <x:f>TEXT(B545,"yyyy-mm")</x:f>
        <x:v>2025-07</x:v>
      </x:c>
    </x:row>
    <x:row r="546">
      <x:c r="A546" t="n">
        <x:v>10239</x:v>
      </x:c>
      <x:c r="B546" s="10" t="n">
        <x:v>45842</x:v>
      </x:c>
      <x:c r="C546" t="str">
        <x:v>P004</x:v>
      </x:c>
      <x:c r="D546" t="str">
        <x:v>Mouse</x:v>
      </x:c>
      <x:c r="E546" t="str">
        <x:v>Accessories</x:v>
      </x:c>
      <x:c r="F546" t="str">
        <x:v>South</x:v>
      </x:c>
      <x:c r="G546" t="str">
        <x:v>Retail</x:v>
      </x:c>
      <x:c r="H546" t="str">
        <x:v>Completed</x:v>
      </x:c>
      <x:c r="I546" t="n">
        <x:v>2</x:v>
      </x:c>
      <x:c r="J546" s="12" t="n">
        <x:v>27.03</x:v>
      </x:c>
      <x:c r="K546" s="12" t="n">
        <x:v>13.2</x:v>
      </x:c>
      <x:c r="L546" s="14" t="n">
        <x:v>0.1</x:v>
      </x:c>
      <x:c r="M546" s="12" t="n">
        <x:f>IF(H546="Completed",I546*J546*(1-L546),0)</x:f>
        <x:v>48.654</x:v>
      </x:c>
      <x:c r="N546" s="12" t="n">
        <x:f>IF(H546="Completed",I546*K546,0)</x:f>
        <x:v>26.4</x:v>
      </x:c>
      <x:c r="O546" s="12" t="n">
        <x:f>M546-N546</x:f>
        <x:v>22.254000000000005</x:v>
      </x:c>
      <x:c r="P546" s="16" t="n">
        <x:f>IFERROR(O546/M546,0)</x:f>
        <x:v>0.45739302010112226</x:v>
      </x:c>
      <x:c r="Q546" t="n">
        <x:f>YEAR(B546)</x:f>
        <x:v>2025</x:v>
      </x:c>
      <x:c r="R546" t="str">
        <x:f>TEXT(B546,"yyyy-mm")</x:f>
        <x:v>2025-07</x:v>
      </x:c>
    </x:row>
    <x:row r="547">
      <x:c r="A547" t="n">
        <x:v>10307</x:v>
      </x:c>
      <x:c r="B547" s="10" t="n">
        <x:v>45842</x:v>
      </x:c>
      <x:c r="C547" t="str">
        <x:v>P005</x:v>
      </x:c>
      <x:c r="D547" t="str">
        <x:v>Desk</x:v>
      </x:c>
      <x:c r="E547" t="str">
        <x:v>Furniture</x:v>
      </x:c>
      <x:c r="F547" t="str">
        <x:v>Scotland</x:v>
      </x:c>
      <x:c r="G547" t="str">
        <x:v>Retail</x:v>
      </x:c>
      <x:c r="H547" t="str">
        <x:v>Completed</x:v>
      </x:c>
      <x:c r="I547" t="n">
        <x:v>2</x:v>
      </x:c>
      <x:c r="J547" s="12" t="n">
        <x:v>276.58</x:v>
      </x:c>
      <x:c r="K547" s="12" t="n">
        <x:v>156.34</x:v>
      </x:c>
      <x:c r="L547" s="14" t="n">
        <x:v>0.1</x:v>
      </x:c>
      <x:c r="M547" s="12" t="n">
        <x:f>IF(H547="Completed",I547*J547*(1-L547),0)</x:f>
        <x:v>497.844</x:v>
      </x:c>
      <x:c r="N547" s="12" t="n">
        <x:f>IF(H547="Completed",I547*K547,0)</x:f>
        <x:v>312.68</x:v>
      </x:c>
      <x:c r="O547" s="12" t="n">
        <x:f>M547-N547</x:f>
        <x:v>185.164</x:v>
      </x:c>
      <x:c r="P547" s="16" t="n">
        <x:f>IFERROR(O547/M547,0)</x:f>
        <x:v>0.37193176979134024</x:v>
      </x:c>
      <x:c r="Q547" t="n">
        <x:f>YEAR(B547)</x:f>
        <x:v>2025</x:v>
      </x:c>
      <x:c r="R547" t="str">
        <x:f>TEXT(B547,"yyyy-mm")</x:f>
        <x:v>2025-07</x:v>
      </x:c>
    </x:row>
    <x:row r="548">
      <x:c r="A548" t="n">
        <x:v>10469</x:v>
      </x:c>
      <x:c r="B548" s="10" t="n">
        <x:v>45842</x:v>
      </x:c>
      <x:c r="C548" t="str">
        <x:v>P007</x:v>
      </x:c>
      <x:c r="D548" t="str">
        <x:v>Headset</x:v>
      </x:c>
      <x:c r="E548" t="str">
        <x:v>Accessories</x:v>
      </x:c>
      <x:c r="F548" t="str">
        <x:v>Scotland</x:v>
      </x:c>
      <x:c r="G548" t="str">
        <x:v>Online</x:v>
      </x:c>
      <x:c r="H548" t="str">
        <x:v>Completed</x:v>
      </x:c>
      <x:c r="I548" t="n">
        <x:v>1</x:v>
      </x:c>
      <x:c r="J548" s="12" t="n">
        <x:v>71.51</x:v>
      </x:c>
      <x:c r="K548" s="12" t="n">
        <x:v>34.45</x:v>
      </x:c>
      <x:c r="L548" s="14" t="n">
        <x:v>0.15</x:v>
      </x:c>
      <x:c r="M548" s="12" t="n">
        <x:f>IF(H548="Completed",I548*J548*(1-L548),0)</x:f>
        <x:v>60.783500000000004</x:v>
      </x:c>
      <x:c r="N548" s="12" t="n">
        <x:f>IF(H548="Completed",I548*K548,0)</x:f>
        <x:v>34.45</x:v>
      </x:c>
      <x:c r="O548" s="12" t="n">
        <x:f>M548-N548</x:f>
        <x:v>26.3335</x:v>
      </x:c>
      <x:c r="P548" s="16" t="n">
        <x:f>IFERROR(O548/M548,0)</x:f>
        <x:v>0.43323434813724115</x:v>
      </x:c>
      <x:c r="Q548" t="n">
        <x:f>YEAR(B548)</x:f>
        <x:v>2025</x:v>
      </x:c>
      <x:c r="R548" t="str">
        <x:f>TEXT(B548,"yyyy-mm")</x:f>
        <x:v>2025-07</x:v>
      </x:c>
    </x:row>
    <x:row r="549">
      <x:c r="A549" t="n">
        <x:v>10709</x:v>
      </x:c>
      <x:c r="B549" s="10" t="n">
        <x:v>45842</x:v>
      </x:c>
      <x:c r="C549" t="str">
        <x:v>P003</x:v>
      </x:c>
      <x:c r="D549" t="str">
        <x:v>Keyboard</x:v>
      </x:c>
      <x:c r="E549" t="str">
        <x:v>Accessories</x:v>
      </x:c>
      <x:c r="F549" t="str">
        <x:v>Scotland</x:v>
      </x:c>
      <x:c r="G549" t="str">
        <x:v>Online</x:v>
      </x:c>
      <x:c r="H549" t="str">
        <x:v>Completed</x:v>
      </x:c>
      <x:c r="I549" t="n">
        <x:v>2</x:v>
      </x:c>
      <x:c r="J549" s="12" t="n">
        <x:v>50.6</x:v>
      </x:c>
      <x:c r="K549" s="12" t="n">
        <x:v>26.42</x:v>
      </x:c>
      <x:c r="L549" s="14" t="n">
        <x:v>0</x:v>
      </x:c>
      <x:c r="M549" s="12" t="n">
        <x:f>IF(H549="Completed",I549*J549*(1-L549),0)</x:f>
        <x:v>101.2</x:v>
      </x:c>
      <x:c r="N549" s="12" t="n">
        <x:f>IF(H549="Completed",I549*K549,0)</x:f>
        <x:v>52.84</x:v>
      </x:c>
      <x:c r="O549" s="12" t="n">
        <x:f>M549-N549</x:f>
        <x:v>48.36</x:v>
      </x:c>
      <x:c r="P549" s="16" t="n">
        <x:f>IFERROR(O549/M549,0)</x:f>
        <x:v>0.4778656126482213</x:v>
      </x:c>
      <x:c r="Q549" t="n">
        <x:f>YEAR(B549)</x:f>
        <x:v>2025</x:v>
      </x:c>
      <x:c r="R549" t="str">
        <x:f>TEXT(B549,"yyyy-mm")</x:f>
        <x:v>2025-07</x:v>
      </x:c>
    </x:row>
    <x:row r="550">
      <x:c r="A550" t="n">
        <x:v>10535</x:v>
      </x:c>
      <x:c r="B550" s="10" t="n">
        <x:v>45843</x:v>
      </x:c>
      <x:c r="C550" t="str">
        <x:v>P003</x:v>
      </x:c>
      <x:c r="D550" t="str">
        <x:v>Keyboard</x:v>
      </x:c>
      <x:c r="E550" t="str">
        <x:v>Accessories</x:v>
      </x:c>
      <x:c r="F550" t="str">
        <x:v>Midlands</x:v>
      </x:c>
      <x:c r="G550" t="str">
        <x:v>Retail</x:v>
      </x:c>
      <x:c r="H550" t="str">
        <x:v>Completed</x:v>
      </x:c>
      <x:c r="I550" t="n">
        <x:v>3</x:v>
      </x:c>
      <x:c r="J550" s="12" t="n">
        <x:v>49.06</x:v>
      </x:c>
      <x:c r="K550" s="12" t="n">
        <x:v>25.58</x:v>
      </x:c>
      <x:c r="L550" s="14" t="n">
        <x:v>0.15</x:v>
      </x:c>
      <x:c r="M550" s="12" t="n">
        <x:f>IF(H550="Completed",I550*J550*(1-L550),0)</x:f>
        <x:v>125.10300000000001</x:v>
      </x:c>
      <x:c r="N550" s="12" t="n">
        <x:f>IF(H550="Completed",I550*K550,0)</x:f>
        <x:v>76.74</x:v>
      </x:c>
      <x:c r="O550" s="12" t="n">
        <x:f>M550-N550</x:f>
        <x:v>48.363000000000014</x:v>
      </x:c>
      <x:c r="P550" s="16" t="n">
        <x:f>IFERROR(O550/M550,0)</x:f>
        <x:v>0.386585453586245</x:v>
      </x:c>
      <x:c r="Q550" t="n">
        <x:f>YEAR(B550)</x:f>
        <x:v>2025</x:v>
      </x:c>
      <x:c r="R550" t="str">
        <x:f>TEXT(B550,"yyyy-mm")</x:f>
        <x:v>2025-07</x:v>
      </x:c>
    </x:row>
    <x:row r="551">
      <x:c r="A551" t="n">
        <x:v>10786</x:v>
      </x:c>
      <x:c r="B551" s="10" t="n">
        <x:v>45843</x:v>
      </x:c>
      <x:c r="C551" t="str">
        <x:v>P006</x:v>
      </x:c>
      <x:c r="D551" t="str">
        <x:v>Chair</x:v>
      </x:c>
      <x:c r="E551" t="str">
        <x:v>Furniture</x:v>
      </x:c>
      <x:c r="F551" t="str">
        <x:v>South</x:v>
      </x:c>
      <x:c r="G551" t="str">
        <x:v>Partner</x:v>
      </x:c>
      <x:c r="H551" t="str">
        <x:v>Cancelled</x:v>
      </x:c>
      <x:c r="I551" t="n">
        <x:v>1</x:v>
      </x:c>
      <x:c r="J551" s="12" t="n">
        <x:v>139.47</x:v>
      </x:c>
      <x:c r="K551" s="12" t="n">
        <x:v>67.55</x:v>
      </x:c>
      <x:c r="L551" s="14" t="n">
        <x:v>0.1</x:v>
      </x:c>
      <x:c r="M551" s="12" t="n">
        <x:f>IF(H551="Completed",I551*J551*(1-L551),0)</x:f>
        <x:v>0</x:v>
      </x:c>
      <x:c r="N551" s="12" t="n">
        <x:f>IF(H551="Completed",I551*K551,0)</x:f>
        <x:v>0</x:v>
      </x:c>
      <x:c r="O551" s="12" t="n">
        <x:f>M551-N551</x:f>
        <x:v>0</x:v>
      </x:c>
      <x:c r="P551" s="16" t="n">
        <x:f>IFERROR(O551/M551,0)</x:f>
        <x:v>0</x:v>
      </x:c>
      <x:c r="Q551" t="n">
        <x:f>YEAR(B551)</x:f>
        <x:v>2025</x:v>
      </x:c>
      <x:c r="R551" t="str">
        <x:f>TEXT(B551,"yyyy-mm")</x:f>
        <x:v>2025-07</x:v>
      </x:c>
    </x:row>
    <x:row r="552">
      <x:c r="A552" t="n">
        <x:v>10792</x:v>
      </x:c>
      <x:c r="B552" s="10" t="n">
        <x:v>45844</x:v>
      </x:c>
      <x:c r="C552" t="str">
        <x:v>P006</x:v>
      </x:c>
      <x:c r="D552" t="str">
        <x:v>Chair</x:v>
      </x:c>
      <x:c r="E552" t="str">
        <x:v>Furniture</x:v>
      </x:c>
      <x:c r="F552" t="str">
        <x:v>Midlands</x:v>
      </x:c>
      <x:c r="G552" t="str">
        <x:v>Online</x:v>
      </x:c>
      <x:c r="H552" t="str">
        <x:v>Cancelled</x:v>
      </x:c>
      <x:c r="I552" t="n">
        <x:v>2</x:v>
      </x:c>
      <x:c r="J552" s="12" t="n">
        <x:v>137.3</x:v>
      </x:c>
      <x:c r="K552" s="12" t="n">
        <x:v>68.5</x:v>
      </x:c>
      <x:c r="L552" s="14" t="n">
        <x:v>0.05</x:v>
      </x:c>
      <x:c r="M552" s="12" t="n">
        <x:f>IF(H552="Completed",I552*J552*(1-L552),0)</x:f>
        <x:v>0</x:v>
      </x:c>
      <x:c r="N552" s="12" t="n">
        <x:f>IF(H552="Completed",I552*K552,0)</x:f>
        <x:v>0</x:v>
      </x:c>
      <x:c r="O552" s="12" t="n">
        <x:f>M552-N552</x:f>
        <x:v>0</x:v>
      </x:c>
      <x:c r="P552" s="16" t="n">
        <x:f>IFERROR(O552/M552,0)</x:f>
        <x:v>0</x:v>
      </x:c>
      <x:c r="Q552" t="n">
        <x:f>YEAR(B552)</x:f>
        <x:v>2025</x:v>
      </x:c>
      <x:c r="R552" t="str">
        <x:f>TEXT(B552,"yyyy-mm")</x:f>
        <x:v>2025-07</x:v>
      </x:c>
    </x:row>
    <x:row r="553">
      <x:c r="A553" t="n">
        <x:v>10362</x:v>
      </x:c>
      <x:c r="B553" s="10" t="n">
        <x:v>45849</x:v>
      </x:c>
      <x:c r="C553" t="str">
        <x:v>P008</x:v>
      </x:c>
      <x:c r="D553" t="str">
        <x:v>Webcam</x:v>
      </x:c>
      <x:c r="E553" t="str">
        <x:v>Electronics</x:v>
      </x:c>
      <x:c r="F553" t="str">
        <x:v>Wales</x:v>
      </x:c>
      <x:c r="G553" t="str">
        <x:v>Online</x:v>
      </x:c>
      <x:c r="H553" t="str">
        <x:v>Completed</x:v>
      </x:c>
      <x:c r="I553" t="n">
        <x:v>3</x:v>
      </x:c>
      <x:c r="J553" s="12" t="n">
        <x:v>87.45</x:v>
      </x:c>
      <x:c r="K553" s="12" t="n">
        <x:v>41.83</x:v>
      </x:c>
      <x:c r="L553" s="14" t="n">
        <x:v>0</x:v>
      </x:c>
      <x:c r="M553" s="12" t="n">
        <x:f>IF(H553="Completed",I553*J553*(1-L553),0)</x:f>
        <x:v>262.35</x:v>
      </x:c>
      <x:c r="N553" s="12" t="n">
        <x:f>IF(H553="Completed",I553*K553,0)</x:f>
        <x:v>125.49</x:v>
      </x:c>
      <x:c r="O553" s="12" t="n">
        <x:f>M553-N553</x:f>
        <x:v>136.86</x:v>
      </x:c>
      <x:c r="P553" s="16" t="n">
        <x:f>IFERROR(O553/M553,0)</x:f>
        <x:v>0.5216695254431104</x:v>
      </x:c>
      <x:c r="Q553" t="n">
        <x:f>YEAR(B553)</x:f>
        <x:v>2025</x:v>
      </x:c>
      <x:c r="R553" t="str">
        <x:f>TEXT(B553,"yyyy-mm")</x:f>
        <x:v>2025-07</x:v>
      </x:c>
    </x:row>
    <x:row r="554">
      <x:c r="A554" t="n">
        <x:v>10002</x:v>
      </x:c>
      <x:c r="B554" s="10" t="n">
        <x:v>45850</x:v>
      </x:c>
      <x:c r="C554" t="str">
        <x:v>P002</x:v>
      </x:c>
      <x:c r="D554" t="str">
        <x:v>Monitor</x:v>
      </x:c>
      <x:c r="E554" t="str">
        <x:v>Electronics</x:v>
      </x:c>
      <x:c r="F554" t="str">
        <x:v>North</x:v>
      </x:c>
      <x:c r="G554" t="str">
        <x:v>Online</x:v>
      </x:c>
      <x:c r="H554" t="str">
        <x:v>Completed</x:v>
      </x:c>
      <x:c r="I554" t="n">
        <x:v>4</x:v>
      </x:c>
      <x:c r="J554" s="12" t="n">
        <x:v>288.46</x:v>
      </x:c>
      <x:c r="K554" s="12" t="n">
        <x:v>171.37</x:v>
      </x:c>
      <x:c r="L554" s="14" t="n">
        <x:v>0.1</x:v>
      </x:c>
      <x:c r="M554" s="12" t="n">
        <x:f>IF(H554="Completed",I554*J554*(1-L554),0)</x:f>
        <x:v>1038.456</x:v>
      </x:c>
      <x:c r="N554" s="12" t="n">
        <x:f>IF(H554="Completed",I554*K554,0)</x:f>
        <x:v>685.48</x:v>
      </x:c>
      <x:c r="O554" s="12" t="n">
        <x:f>M554-N554</x:f>
        <x:v>352.9759999999999</x:v>
      </x:c>
      <x:c r="P554" s="16" t="n">
        <x:f>IFERROR(O554/M554,0)</x:f>
        <x:v>0.33990462763949547</x:v>
      </x:c>
      <x:c r="Q554" t="n">
        <x:f>YEAR(B554)</x:f>
        <x:v>2025</x:v>
      </x:c>
      <x:c r="R554" t="str">
        <x:f>TEXT(B554,"yyyy-mm")</x:f>
        <x:v>2025-07</x:v>
      </x:c>
    </x:row>
    <x:row r="555">
      <x:c r="A555" t="n">
        <x:v>10700</x:v>
      </x:c>
      <x:c r="B555" s="10" t="n">
        <x:v>45850</x:v>
      </x:c>
      <x:c r="C555" t="str">
        <x:v>P003</x:v>
      </x:c>
      <x:c r="D555" t="str">
        <x:v>Keyboard</x:v>
      </x:c>
      <x:c r="E555" t="str">
        <x:v>Accessories</x:v>
      </x:c>
      <x:c r="F555" t="str">
        <x:v>Scotland</x:v>
      </x:c>
      <x:c r="G555" t="str">
        <x:v>Retail</x:v>
      </x:c>
      <x:c r="H555" t="str">
        <x:v>Completed</x:v>
      </x:c>
      <x:c r="I555" t="n">
        <x:v>3</x:v>
      </x:c>
      <x:c r="J555" s="12" t="n">
        <x:v>48.12</x:v>
      </x:c>
      <x:c r="K555" s="12" t="n">
        <x:v>25.56</x:v>
      </x:c>
      <x:c r="L555" s="14" t="n">
        <x:v>0.1</x:v>
      </x:c>
      <x:c r="M555" s="12" t="n">
        <x:f>IF(H555="Completed",I555*J555*(1-L555),0)</x:f>
        <x:v>129.92399999999998</x:v>
      </x:c>
      <x:c r="N555" s="12" t="n">
        <x:f>IF(H555="Completed",I555*K555,0)</x:f>
        <x:v>76.67999999999999</x:v>
      </x:c>
      <x:c r="O555" s="12" t="n">
        <x:f>M555-N555</x:f>
        <x:v>53.243999999999986</x:v>
      </x:c>
      <x:c r="P555" s="16" t="n">
        <x:f>IFERROR(O555/M555,0)</x:f>
        <x:v>0.40980881130507063</x:v>
      </x:c>
      <x:c r="Q555" t="n">
        <x:f>YEAR(B555)</x:f>
        <x:v>2025</x:v>
      </x:c>
      <x:c r="R555" t="str">
        <x:f>TEXT(B555,"yyyy-mm")</x:f>
        <x:v>2025-07</x:v>
      </x:c>
    </x:row>
    <x:row r="556">
      <x:c r="A556" t="n">
        <x:v>10377</x:v>
      </x:c>
      <x:c r="B556" s="10" t="n">
        <x:v>45851</x:v>
      </x:c>
      <x:c r="C556" t="str">
        <x:v>P007</x:v>
      </x:c>
      <x:c r="D556" t="str">
        <x:v>Headset</x:v>
      </x:c>
      <x:c r="E556" t="str">
        <x:v>Accessories</x:v>
      </x:c>
      <x:c r="F556" t="str">
        <x:v>Scotland</x:v>
      </x:c>
      <x:c r="G556" t="str">
        <x:v>Retail</x:v>
      </x:c>
      <x:c r="H556" t="str">
        <x:v>Cancelled</x:v>
      </x:c>
      <x:c r="I556" t="n">
        <x:v>1</x:v>
      </x:c>
      <x:c r="J556" s="12" t="n">
        <x:v>73.66</x:v>
      </x:c>
      <x:c r="K556" s="12" t="n">
        <x:v>34.69</x:v>
      </x:c>
      <x:c r="L556" s="14" t="n">
        <x:v>0.15</x:v>
      </x:c>
      <x:c r="M556" s="12" t="n">
        <x:f>IF(H556="Completed",I556*J556*(1-L556),0)</x:f>
        <x:v>0</x:v>
      </x:c>
      <x:c r="N556" s="12" t="n">
        <x:f>IF(H556="Completed",I556*K556,0)</x:f>
        <x:v>0</x:v>
      </x:c>
      <x:c r="O556" s="12" t="n">
        <x:f>M556-N556</x:f>
        <x:v>0</x:v>
      </x:c>
      <x:c r="P556" s="16" t="n">
        <x:f>IFERROR(O556/M556,0)</x:f>
        <x:v>0</x:v>
      </x:c>
      <x:c r="Q556" t="n">
        <x:f>YEAR(B556)</x:f>
        <x:v>2025</x:v>
      </x:c>
      <x:c r="R556" t="str">
        <x:f>TEXT(B556,"yyyy-mm")</x:f>
        <x:v>2025-07</x:v>
      </x:c>
    </x:row>
    <x:row r="557">
      <x:c r="A557" t="n">
        <x:v>10593</x:v>
      </x:c>
      <x:c r="B557" s="10" t="n">
        <x:v>45851</x:v>
      </x:c>
      <x:c r="C557" t="str">
        <x:v>P005</x:v>
      </x:c>
      <x:c r="D557" t="str">
        <x:v>Desk</x:v>
      </x:c>
      <x:c r="E557" t="str">
        <x:v>Furniture</x:v>
      </x:c>
      <x:c r="F557" t="str">
        <x:v>South</x:v>
      </x:c>
      <x:c r="G557" t="str">
        <x:v>Partner</x:v>
      </x:c>
      <x:c r="H557" t="str">
        <x:v>Completed</x:v>
      </x:c>
      <x:c r="I557" t="n">
        <x:v>4</x:v>
      </x:c>
      <x:c r="J557" s="12" t="n">
        <x:v>277.97</x:v>
      </x:c>
      <x:c r="K557" s="12" t="n">
        <x:v>157.04</x:v>
      </x:c>
      <x:c r="L557" s="14" t="n">
        <x:v>0.05</x:v>
      </x:c>
      <x:c r="M557" s="12" t="n">
        <x:f>IF(H557="Completed",I557*J557*(1-L557),0)</x:f>
        <x:v>1056.286</x:v>
      </x:c>
      <x:c r="N557" s="12" t="n">
        <x:f>IF(H557="Completed",I557*K557,0)</x:f>
        <x:v>628.16</x:v>
      </x:c>
      <x:c r="O557" s="12" t="n">
        <x:f>M557-N557</x:f>
        <x:v>428.1260000000001</x:v>
      </x:c>
      <x:c r="P557" s="16" t="n">
        <x:f>IFERROR(O557/M557,0)</x:f>
        <x:v>0.4053125763287595</x:v>
      </x:c>
      <x:c r="Q557" t="n">
        <x:f>YEAR(B557)</x:f>
        <x:v>2025</x:v>
      </x:c>
      <x:c r="R557" t="str">
        <x:f>TEXT(B557,"yyyy-mm")</x:f>
        <x:v>2025-07</x:v>
      </x:c>
    </x:row>
    <x:row r="558">
      <x:c r="A558" t="n">
        <x:v>10835</x:v>
      </x:c>
      <x:c r="B558" s="10" t="n">
        <x:v>45852</x:v>
      </x:c>
      <x:c r="C558" t="str">
        <x:v>P007</x:v>
      </x:c>
      <x:c r="D558" t="str">
        <x:v>Headset</x:v>
      </x:c>
      <x:c r="E558" t="str">
        <x:v>Accessories</x:v>
      </x:c>
      <x:c r="F558" t="str">
        <x:v>Midlands</x:v>
      </x:c>
      <x:c r="G558" t="str">
        <x:v>Online</x:v>
      </x:c>
      <x:c r="H558" t="str">
        <x:v>Completed</x:v>
      </x:c>
      <x:c r="I558" t="n">
        <x:v>1</x:v>
      </x:c>
      <x:c r="J558" s="12" t="n">
        <x:v>69.94</x:v>
      </x:c>
      <x:c r="K558" s="12" t="n">
        <x:v>34.66</x:v>
      </x:c>
      <x:c r="L558" s="14" t="n">
        <x:v>0</x:v>
      </x:c>
      <x:c r="M558" s="12" t="n">
        <x:f>IF(H558="Completed",I558*J558*(1-L558),0)</x:f>
        <x:v>69.94</x:v>
      </x:c>
      <x:c r="N558" s="12" t="n">
        <x:f>IF(H558="Completed",I558*K558,0)</x:f>
        <x:v>34.66</x:v>
      </x:c>
      <x:c r="O558" s="12" t="n">
        <x:f>M558-N558</x:f>
        <x:v>35.28</x:v>
      </x:c>
      <x:c r="P558" s="16" t="n">
        <x:f>IFERROR(O558/M558,0)</x:f>
        <x:v>0.5044323706033743</x:v>
      </x:c>
      <x:c r="Q558" t="n">
        <x:f>YEAR(B558)</x:f>
        <x:v>2025</x:v>
      </x:c>
      <x:c r="R558" t="str">
        <x:f>TEXT(B558,"yyyy-mm")</x:f>
        <x:v>2025-07</x:v>
      </x:c>
    </x:row>
    <x:row r="559">
      <x:c r="A559" t="n">
        <x:v>10018</x:v>
      </x:c>
      <x:c r="B559" s="10" t="n">
        <x:v>45854</x:v>
      </x:c>
      <x:c r="C559" t="str">
        <x:v>P003</x:v>
      </x:c>
      <x:c r="D559" t="str">
        <x:v>Keyboard</x:v>
      </x:c>
      <x:c r="E559" t="str">
        <x:v>Accessories</x:v>
      </x:c>
      <x:c r="F559" t="str">
        <x:v>South</x:v>
      </x:c>
      <x:c r="G559" t="str">
        <x:v>Retail</x:v>
      </x:c>
      <x:c r="H559" t="str">
        <x:v>Completed</x:v>
      </x:c>
      <x:c r="I559" t="n">
        <x:v>3</x:v>
      </x:c>
      <x:c r="J559" s="12" t="n">
        <x:v>50.12</x:v>
      </x:c>
      <x:c r="K559" s="12" t="n">
        <x:v>26.38</x:v>
      </x:c>
      <x:c r="L559" s="14" t="n">
        <x:v>0.1</x:v>
      </x:c>
      <x:c r="M559" s="12" t="n">
        <x:f>IF(H559="Completed",I559*J559*(1-L559),0)</x:f>
        <x:v>135.32399999999998</x:v>
      </x:c>
      <x:c r="N559" s="12" t="n">
        <x:f>IF(H559="Completed",I559*K559,0)</x:f>
        <x:v>79.14</x:v>
      </x:c>
      <x:c r="O559" s="12" t="n">
        <x:f>M559-N559</x:f>
        <x:v>56.18399999999998</x:v>
      </x:c>
      <x:c r="P559" s="16" t="n">
        <x:f>IFERROR(O559/M559,0)</x:f>
        <x:v>0.41518134255564415</x:v>
      </x:c>
      <x:c r="Q559" t="n">
        <x:f>YEAR(B559)</x:f>
        <x:v>2025</x:v>
      </x:c>
      <x:c r="R559" t="str">
        <x:f>TEXT(B559,"yyyy-mm")</x:f>
        <x:v>2025-07</x:v>
      </x:c>
    </x:row>
    <x:row r="560">
      <x:c r="A560" t="n">
        <x:v>10442</x:v>
      </x:c>
      <x:c r="B560" s="10" t="n">
        <x:v>45854</x:v>
      </x:c>
      <x:c r="C560" t="str">
        <x:v>P001</x:v>
      </x:c>
      <x:c r="D560" t="str">
        <x:v>Laptop</x:v>
      </x:c>
      <x:c r="E560" t="str">
        <x:v>Electronics</x:v>
      </x:c>
      <x:c r="F560" t="str">
        <x:v>Scotland</x:v>
      </x:c>
      <x:c r="G560" t="str">
        <x:v>Partner</x:v>
      </x:c>
      <x:c r="H560" t="str">
        <x:v>Completed</x:v>
      </x:c>
      <x:c r="I560" t="n">
        <x:v>1</x:v>
      </x:c>
      <x:c r="J560" s="12" t="n">
        <x:v>928.61</x:v>
      </x:c>
      <x:c r="K560" s="12" t="n">
        <x:v>627.89</x:v>
      </x:c>
      <x:c r="L560" s="14" t="n">
        <x:v>0.1</x:v>
      </x:c>
      <x:c r="M560" s="12" t="n">
        <x:f>IF(H560="Completed",I560*J560*(1-L560),0)</x:f>
        <x:v>835.749</x:v>
      </x:c>
      <x:c r="N560" s="12" t="n">
        <x:f>IF(H560="Completed",I560*K560,0)</x:f>
        <x:v>627.89</x:v>
      </x:c>
      <x:c r="O560" s="12" t="n">
        <x:f>M560-N560</x:f>
        <x:v>207.85900000000004</x:v>
      </x:c>
      <x:c r="P560" s="16" t="n">
        <x:f>IFERROR(O560/M560,0)</x:f>
        <x:v>0.2487098399160514</x:v>
      </x:c>
      <x:c r="Q560" t="n">
        <x:f>YEAR(B560)</x:f>
        <x:v>2025</x:v>
      </x:c>
      <x:c r="R560" t="str">
        <x:f>TEXT(B560,"yyyy-mm")</x:f>
        <x:v>2025-07</x:v>
      </x:c>
    </x:row>
    <x:row r="561">
      <x:c r="A561" t="n">
        <x:v>10478</x:v>
      </x:c>
      <x:c r="B561" s="10" t="n">
        <x:v>45854</x:v>
      </x:c>
      <x:c r="C561" t="str">
        <x:v>P008</x:v>
      </x:c>
      <x:c r="D561" t="str">
        <x:v>Webcam</x:v>
      </x:c>
      <x:c r="E561" t="str">
        <x:v>Electronics</x:v>
      </x:c>
      <x:c r="F561" t="str">
        <x:v>Midlands</x:v>
      </x:c>
      <x:c r="G561" t="str">
        <x:v>Online</x:v>
      </x:c>
      <x:c r="H561" t="str">
        <x:v>Completed</x:v>
      </x:c>
      <x:c r="I561" t="n">
        <x:v>1</x:v>
      </x:c>
      <x:c r="J561" s="12" t="n">
        <x:v>90.85</x:v>
      </x:c>
      <x:c r="K561" s="12" t="n">
        <x:v>42.18</x:v>
      </x:c>
      <x:c r="L561" s="14" t="n">
        <x:v>0</x:v>
      </x:c>
      <x:c r="M561" s="12" t="n">
        <x:f>IF(H561="Completed",I561*J561*(1-L561),0)</x:f>
        <x:v>90.85</x:v>
      </x:c>
      <x:c r="N561" s="12" t="n">
        <x:f>IF(H561="Completed",I561*K561,0)</x:f>
        <x:v>42.18</x:v>
      </x:c>
      <x:c r="O561" s="12" t="n">
        <x:f>M561-N561</x:f>
        <x:v>48.669999999999995</x:v>
      </x:c>
      <x:c r="P561" s="16" t="n">
        <x:f>IFERROR(O561/M561,0)</x:f>
        <x:v>0.5357182168409466</x:v>
      </x:c>
      <x:c r="Q561" t="n">
        <x:f>YEAR(B561)</x:f>
        <x:v>2025</x:v>
      </x:c>
      <x:c r="R561" t="str">
        <x:f>TEXT(B561,"yyyy-mm")</x:f>
        <x:v>2025-07</x:v>
      </x:c>
    </x:row>
    <x:row r="562">
      <x:c r="A562" t="n">
        <x:v>10095</x:v>
      </x:c>
      <x:c r="B562" s="10" t="n">
        <x:v>45855</x:v>
      </x:c>
      <x:c r="C562" t="str">
        <x:v>P001</x:v>
      </x:c>
      <x:c r="D562" t="str">
        <x:v>Laptop</x:v>
      </x:c>
      <x:c r="E562" t="str">
        <x:v>Electronics</x:v>
      </x:c>
      <x:c r="F562" t="str">
        <x:v>North</x:v>
      </x:c>
      <x:c r="G562" t="str">
        <x:v>Online</x:v>
      </x:c>
      <x:c r="H562" t="str">
        <x:v>Completed</x:v>
      </x:c>
      <x:c r="I562" t="n">
        <x:v>4</x:v>
      </x:c>
      <x:c r="J562" s="12" t="n">
        <x:v>948.1</x:v>
      </x:c>
      <x:c r="K562" s="12" t="n">
        <x:v>633.17</x:v>
      </x:c>
      <x:c r="L562" s="14" t="n">
        <x:v>0.05</x:v>
      </x:c>
      <x:c r="M562" s="12" t="n">
        <x:f>IF(H562="Completed",I562*J562*(1-L562),0)</x:f>
        <x:v>3602.7799999999997</x:v>
      </x:c>
      <x:c r="N562" s="12" t="n">
        <x:f>IF(H562="Completed",I562*K562,0)</x:f>
        <x:v>2532.68</x:v>
      </x:c>
      <x:c r="O562" s="12" t="n">
        <x:f>M562-N562</x:f>
        <x:v>1070.1</x:v>
      </x:c>
      <x:c r="P562" s="16" t="n">
        <x:f>IFERROR(O562/M562,0)</x:f>
        <x:v>0.2970206340659158</x:v>
      </x:c>
      <x:c r="Q562" t="n">
        <x:f>YEAR(B562)</x:f>
        <x:v>2025</x:v>
      </x:c>
      <x:c r="R562" t="str">
        <x:f>TEXT(B562,"yyyy-mm")</x:f>
        <x:v>2025-07</x:v>
      </x:c>
    </x:row>
    <x:row r="563">
      <x:c r="A563" t="n">
        <x:v>10355</x:v>
      </x:c>
      <x:c r="B563" s="10" t="n">
        <x:v>45855</x:v>
      </x:c>
      <x:c r="C563" t="str">
        <x:v>P004</x:v>
      </x:c>
      <x:c r="D563" t="str">
        <x:v>Mouse</x:v>
      </x:c>
      <x:c r="E563" t="str">
        <x:v>Accessories</x:v>
      </x:c>
      <x:c r="F563" t="str">
        <x:v>South</x:v>
      </x:c>
      <x:c r="G563" t="str">
        <x:v>Retail</x:v>
      </x:c>
      <x:c r="H563" t="str">
        <x:v>Completed</x:v>
      </x:c>
      <x:c r="I563" t="n">
        <x:v>1</x:v>
      </x:c>
      <x:c r="J563" s="12" t="n">
        <x:v>26.21</x:v>
      </x:c>
      <x:c r="K563" s="12" t="n">
        <x:v>13.28</x:v>
      </x:c>
      <x:c r="L563" s="14" t="n">
        <x:v>0</x:v>
      </x:c>
      <x:c r="M563" s="12" t="n">
        <x:f>IF(H563="Completed",I563*J563*(1-L563),0)</x:f>
        <x:v>26.21</x:v>
      </x:c>
      <x:c r="N563" s="12" t="n">
        <x:f>IF(H563="Completed",I563*K563,0)</x:f>
        <x:v>13.28</x:v>
      </x:c>
      <x:c r="O563" s="12" t="n">
        <x:f>M563-N563</x:f>
        <x:v>12.930000000000001</x:v>
      </x:c>
      <x:c r="P563" s="16" t="n">
        <x:f>IFERROR(O563/M563,0)</x:f>
        <x:v>0.49332315909958036</x:v>
      </x:c>
      <x:c r="Q563" t="n">
        <x:f>YEAR(B563)</x:f>
        <x:v>2025</x:v>
      </x:c>
      <x:c r="R563" t="str">
        <x:f>TEXT(B563,"yyyy-mm")</x:f>
        <x:v>2025-07</x:v>
      </x:c>
    </x:row>
    <x:row r="564">
      <x:c r="A564" t="n">
        <x:v>10036</x:v>
      </x:c>
      <x:c r="B564" s="10" t="n">
        <x:v>45858</x:v>
      </x:c>
      <x:c r="C564" t="str">
        <x:v>P003</x:v>
      </x:c>
      <x:c r="D564" t="str">
        <x:v>Keyboard</x:v>
      </x:c>
      <x:c r="E564" t="str">
        <x:v>Accessories</x:v>
      </x:c>
      <x:c r="F564" t="str">
        <x:v>Midlands</x:v>
      </x:c>
      <x:c r="G564" t="str">
        <x:v>Online</x:v>
      </x:c>
      <x:c r="H564" t="str">
        <x:v>Completed</x:v>
      </x:c>
      <x:c r="I564" t="n">
        <x:v>3</x:v>
      </x:c>
      <x:c r="J564" s="12" t="n">
        <x:v>49.89</x:v>
      </x:c>
      <x:c r="K564" s="12" t="n">
        <x:v>26.59</x:v>
      </x:c>
      <x:c r="L564" s="14" t="n">
        <x:v>0</x:v>
      </x:c>
      <x:c r="M564" s="12" t="n">
        <x:f>IF(H564="Completed",I564*J564*(1-L564),0)</x:f>
        <x:v>149.67000000000002</x:v>
      </x:c>
      <x:c r="N564" s="12" t="n">
        <x:f>IF(H564="Completed",I564*K564,0)</x:f>
        <x:v>79.77</x:v>
      </x:c>
      <x:c r="O564" s="12" t="n">
        <x:f>M564-N564</x:f>
        <x:v>69.90000000000002</x:v>
      </x:c>
      <x:c r="P564" s="16" t="n">
        <x:f>IFERROR(O564/M564,0)</x:f>
        <x:v>0.4670274604129085</x:v>
      </x:c>
      <x:c r="Q564" t="n">
        <x:f>YEAR(B564)</x:f>
        <x:v>2025</x:v>
      </x:c>
      <x:c r="R564" t="str">
        <x:f>TEXT(B564,"yyyy-mm")</x:f>
        <x:v>2025-07</x:v>
      </x:c>
    </x:row>
    <x:row r="565">
      <x:c r="A565" t="n">
        <x:v>10749</x:v>
      </x:c>
      <x:c r="B565" s="10" t="n">
        <x:v>45859</x:v>
      </x:c>
      <x:c r="C565" t="str">
        <x:v>P008</x:v>
      </x:c>
      <x:c r="D565" t="str">
        <x:v>Webcam</x:v>
      </x:c>
      <x:c r="E565" t="str">
        <x:v>Electronics</x:v>
      </x:c>
      <x:c r="F565" t="str">
        <x:v>Scotland</x:v>
      </x:c>
      <x:c r="G565" t="str">
        <x:v>Online</x:v>
      </x:c>
      <x:c r="H565" t="str">
        <x:v>Cancelled</x:v>
      </x:c>
      <x:c r="I565" t="n">
        <x:v>1</x:v>
      </x:c>
      <x:c r="J565" s="12" t="n">
        <x:v>89.41</x:v>
      </x:c>
      <x:c r="K565" s="12" t="n">
        <x:v>42.71</x:v>
      </x:c>
      <x:c r="L565" s="14" t="n">
        <x:v>0</x:v>
      </x:c>
      <x:c r="M565" s="12" t="n">
        <x:f>IF(H565="Completed",I565*J565*(1-L565),0)</x:f>
        <x:v>0</x:v>
      </x:c>
      <x:c r="N565" s="12" t="n">
        <x:f>IF(H565="Completed",I565*K565,0)</x:f>
        <x:v>0</x:v>
      </x:c>
      <x:c r="O565" s="12" t="n">
        <x:f>M565-N565</x:f>
        <x:v>0</x:v>
      </x:c>
      <x:c r="P565" s="16" t="n">
        <x:f>IFERROR(O565/M565,0)</x:f>
        <x:v>0</x:v>
      </x:c>
      <x:c r="Q565" t="n">
        <x:f>YEAR(B565)</x:f>
        <x:v>2025</x:v>
      </x:c>
      <x:c r="R565" t="str">
        <x:f>TEXT(B565,"yyyy-mm")</x:f>
        <x:v>2025-07</x:v>
      </x:c>
    </x:row>
    <x:row r="566">
      <x:c r="A566" t="n">
        <x:v>10141</x:v>
      </x:c>
      <x:c r="B566" s="10" t="n">
        <x:v>45861</x:v>
      </x:c>
      <x:c r="C566" t="str">
        <x:v>P006</x:v>
      </x:c>
      <x:c r="D566" t="str">
        <x:v>Chair</x:v>
      </x:c>
      <x:c r="E566" t="str">
        <x:v>Furniture</x:v>
      </x:c>
      <x:c r="F566" t="str">
        <x:v>Scotland</x:v>
      </x:c>
      <x:c r="G566" t="str">
        <x:v>Retail</x:v>
      </x:c>
      <x:c r="H566" t="str">
        <x:v>Completed</x:v>
      </x:c>
      <x:c r="I566" t="n">
        <x:v>1</x:v>
      </x:c>
      <x:c r="J566" s="12" t="n">
        <x:v>140.16</x:v>
      </x:c>
      <x:c r="K566" s="12" t="n">
        <x:v>69.42</x:v>
      </x:c>
      <x:c r="L566" s="14" t="n">
        <x:v>0.1</x:v>
      </x:c>
      <x:c r="M566" s="12" t="n">
        <x:f>IF(H566="Completed",I566*J566*(1-L566),0)</x:f>
        <x:v>126.144</x:v>
      </x:c>
      <x:c r="N566" s="12" t="n">
        <x:f>IF(H566="Completed",I566*K566,0)</x:f>
        <x:v>69.42</x:v>
      </x:c>
      <x:c r="O566" s="12" t="n">
        <x:f>M566-N566</x:f>
        <x:v>56.724000000000004</x:v>
      </x:c>
      <x:c r="P566" s="16" t="n">
        <x:f>IFERROR(O566/M566,0)</x:f>
        <x:v>0.4496765601217656</x:v>
      </x:c>
      <x:c r="Q566" t="n">
        <x:f>YEAR(B566)</x:f>
        <x:v>2025</x:v>
      </x:c>
      <x:c r="R566" t="str">
        <x:f>TEXT(B566,"yyyy-mm")</x:f>
        <x:v>2025-07</x:v>
      </x:c>
    </x:row>
    <x:row r="567">
      <x:c r="A567" t="n">
        <x:v>10252</x:v>
      </x:c>
      <x:c r="B567" s="10" t="n">
        <x:v>45862</x:v>
      </x:c>
      <x:c r="C567" t="str">
        <x:v>P003</x:v>
      </x:c>
      <x:c r="D567" t="str">
        <x:v>Keyboard</x:v>
      </x:c>
      <x:c r="E567" t="str">
        <x:v>Accessories</x:v>
      </x:c>
      <x:c r="F567" t="str">
        <x:v>South</x:v>
      </x:c>
      <x:c r="G567" t="str">
        <x:v>Online</x:v>
      </x:c>
      <x:c r="H567" t="str">
        <x:v>Completed</x:v>
      </x:c>
      <x:c r="I567" t="n">
        <x:v>4</x:v>
      </x:c>
      <x:c r="J567" s="12" t="n">
        <x:v>49.83</x:v>
      </x:c>
      <x:c r="K567" s="12" t="n">
        <x:v>26.5</x:v>
      </x:c>
      <x:c r="L567" s="14" t="n">
        <x:v>0.15</x:v>
      </x:c>
      <x:c r="M567" s="12" t="n">
        <x:f>IF(H567="Completed",I567*J567*(1-L567),0)</x:f>
        <x:v>169.422</x:v>
      </x:c>
      <x:c r="N567" s="12" t="n">
        <x:f>IF(H567="Completed",I567*K567,0)</x:f>
        <x:v>106</x:v>
      </x:c>
      <x:c r="O567" s="12" t="n">
        <x:f>M567-N567</x:f>
        <x:v>63.422</x:v>
      </x:c>
      <x:c r="P567" s="16" t="n">
        <x:f>IFERROR(O567/M567,0)</x:f>
        <x:v>0.37434335564448534</x:v>
      </x:c>
      <x:c r="Q567" t="n">
        <x:f>YEAR(B567)</x:f>
        <x:v>2025</x:v>
      </x:c>
      <x:c r="R567" t="str">
        <x:f>TEXT(B567,"yyyy-mm")</x:f>
        <x:v>2025-07</x:v>
      </x:c>
    </x:row>
    <x:row r="568">
      <x:c r="A568" t="n">
        <x:v>10562</x:v>
      </x:c>
      <x:c r="B568" s="10" t="n">
        <x:v>45863</x:v>
      </x:c>
      <x:c r="C568" t="str">
        <x:v>P006</x:v>
      </x:c>
      <x:c r="D568" t="str">
        <x:v>Chair</x:v>
      </x:c>
      <x:c r="E568" t="str">
        <x:v>Furniture</x:v>
      </x:c>
      <x:c r="F568" t="str">
        <x:v>South</x:v>
      </x:c>
      <x:c r="G568" t="str">
        <x:v>Online</x:v>
      </x:c>
      <x:c r="H568" t="str">
        <x:v>Completed</x:v>
      </x:c>
      <x:c r="I568" t="n">
        <x:v>4</x:v>
      </x:c>
      <x:c r="J568" s="12" t="n">
        <x:v>137.8</x:v>
      </x:c>
      <x:c r="K568" s="12" t="n">
        <x:v>67.49</x:v>
      </x:c>
      <x:c r="L568" s="14" t="n">
        <x:v>0</x:v>
      </x:c>
      <x:c r="M568" s="12" t="n">
        <x:f>IF(H568="Completed",I568*J568*(1-L568),0)</x:f>
        <x:v>551.2</x:v>
      </x:c>
      <x:c r="N568" s="12" t="n">
        <x:f>IF(H568="Completed",I568*K568,0)</x:f>
        <x:v>269.96</x:v>
      </x:c>
      <x:c r="O568" s="12" t="n">
        <x:f>M568-N568</x:f>
        <x:v>281.24000000000007</x:v>
      </x:c>
      <x:c r="P568" s="16" t="n">
        <x:f>IFERROR(O568/M568,0)</x:f>
        <x:v>0.5102322206095792</x:v>
      </x:c>
      <x:c r="Q568" t="n">
        <x:f>YEAR(B568)</x:f>
        <x:v>2025</x:v>
      </x:c>
      <x:c r="R568" t="str">
        <x:f>TEXT(B568,"yyyy-mm")</x:f>
        <x:v>2025-07</x:v>
      </x:c>
    </x:row>
    <x:row r="569">
      <x:c r="A569" t="n">
        <x:v>10571</x:v>
      </x:c>
      <x:c r="B569" s="10" t="n">
        <x:v>45863</x:v>
      </x:c>
      <x:c r="C569" t="str">
        <x:v>P007</x:v>
      </x:c>
      <x:c r="D569" t="str">
        <x:v>Headset</x:v>
      </x:c>
      <x:c r="E569" t="str">
        <x:v>Accessories</x:v>
      </x:c>
      <x:c r="F569" t="str">
        <x:v>Scotland</x:v>
      </x:c>
      <x:c r="G569" t="str">
        <x:v>Online</x:v>
      </x:c>
      <x:c r="H569" t="str">
        <x:v>Cancelled</x:v>
      </x:c>
      <x:c r="I569" t="n">
        <x:v>3</x:v>
      </x:c>
      <x:c r="J569" s="12" t="n">
        <x:v>72.51</x:v>
      </x:c>
      <x:c r="K569" s="12" t="n">
        <x:v>35.59</x:v>
      </x:c>
      <x:c r="L569" s="14" t="n">
        <x:v>0</x:v>
      </x:c>
      <x:c r="M569" s="12" t="n">
        <x:f>IF(H569="Completed",I569*J569*(1-L569),0)</x:f>
        <x:v>0</x:v>
      </x:c>
      <x:c r="N569" s="12" t="n">
        <x:f>IF(H569="Completed",I569*K569,0)</x:f>
        <x:v>0</x:v>
      </x:c>
      <x:c r="O569" s="12" t="n">
        <x:f>M569-N569</x:f>
        <x:v>0</x:v>
      </x:c>
      <x:c r="P569" s="16" t="n">
        <x:f>IFERROR(O569/M569,0)</x:f>
        <x:v>0</x:v>
      </x:c>
      <x:c r="Q569" t="n">
        <x:f>YEAR(B569)</x:f>
        <x:v>2025</x:v>
      </x:c>
      <x:c r="R569" t="str">
        <x:f>TEXT(B569,"yyyy-mm")</x:f>
        <x:v>2025-07</x:v>
      </x:c>
    </x:row>
    <x:row r="570">
      <x:c r="A570" t="n">
        <x:v>10281</x:v>
      </x:c>
      <x:c r="B570" s="10" t="n">
        <x:v>45864</x:v>
      </x:c>
      <x:c r="C570" t="str">
        <x:v>P004</x:v>
      </x:c>
      <x:c r="D570" t="str">
        <x:v>Mouse</x:v>
      </x:c>
      <x:c r="E570" t="str">
        <x:v>Accessories</x:v>
      </x:c>
      <x:c r="F570" t="str">
        <x:v>South</x:v>
      </x:c>
      <x:c r="G570" t="str">
        <x:v>Online</x:v>
      </x:c>
      <x:c r="H570" t="str">
        <x:v>Completed</x:v>
      </x:c>
      <x:c r="I570" t="n">
        <x:v>2</x:v>
      </x:c>
      <x:c r="J570" s="12" t="n">
        <x:v>26.7</x:v>
      </x:c>
      <x:c r="K570" s="12" t="n">
        <x:v>12.83</x:v>
      </x:c>
      <x:c r="L570" s="14" t="n">
        <x:v>0</x:v>
      </x:c>
      <x:c r="M570" s="12" t="n">
        <x:f>IF(H570="Completed",I570*J570*(1-L570),0)</x:f>
        <x:v>53.4</x:v>
      </x:c>
      <x:c r="N570" s="12" t="n">
        <x:f>IF(H570="Completed",I570*K570,0)</x:f>
        <x:v>25.66</x:v>
      </x:c>
      <x:c r="O570" s="12" t="n">
        <x:f>M570-N570</x:f>
        <x:v>27.74</x:v>
      </x:c>
      <x:c r="P570" s="16" t="n">
        <x:f>IFERROR(O570/M570,0)</x:f>
        <x:v>0.5194756554307116</x:v>
      </x:c>
      <x:c r="Q570" t="n">
        <x:f>YEAR(B570)</x:f>
        <x:v>2025</x:v>
      </x:c>
      <x:c r="R570" t="str">
        <x:f>TEXT(B570,"yyyy-mm")</x:f>
        <x:v>2025-07</x:v>
      </x:c>
    </x:row>
    <x:row r="571">
      <x:c r="A571" t="n">
        <x:v>10516</x:v>
      </x:c>
      <x:c r="B571" s="10" t="n">
        <x:v>45864</x:v>
      </x:c>
      <x:c r="C571" t="str">
        <x:v>P006</x:v>
      </x:c>
      <x:c r="D571" t="str">
        <x:v>Chair</x:v>
      </x:c>
      <x:c r="E571" t="str">
        <x:v>Furniture</x:v>
      </x:c>
      <x:c r="F571" t="str">
        <x:v>Wales</x:v>
      </x:c>
      <x:c r="G571" t="str">
        <x:v>Online</x:v>
      </x:c>
      <x:c r="H571" t="str">
        <x:v>Cancelled</x:v>
      </x:c>
      <x:c r="I571" t="n">
        <x:v>3</x:v>
      </x:c>
      <x:c r="J571" s="12" t="n">
        <x:v>135.25</x:v>
      </x:c>
      <x:c r="K571" s="12" t="n">
        <x:v>68.01</x:v>
      </x:c>
      <x:c r="L571" s="14" t="n">
        <x:v>0</x:v>
      </x:c>
      <x:c r="M571" s="12" t="n">
        <x:f>IF(H571="Completed",I571*J571*(1-L571),0)</x:f>
        <x:v>0</x:v>
      </x:c>
      <x:c r="N571" s="12" t="n">
        <x:f>IF(H571="Completed",I571*K571,0)</x:f>
        <x:v>0</x:v>
      </x:c>
      <x:c r="O571" s="12" t="n">
        <x:f>M571-N571</x:f>
        <x:v>0</x:v>
      </x:c>
      <x:c r="P571" s="16" t="n">
        <x:f>IFERROR(O571/M571,0)</x:f>
        <x:v>0</x:v>
      </x:c>
      <x:c r="Q571" t="n">
        <x:f>YEAR(B571)</x:f>
        <x:v>2025</x:v>
      </x:c>
      <x:c r="R571" t="str">
        <x:f>TEXT(B571,"yyyy-mm")</x:f>
        <x:v>2025-07</x:v>
      </x:c>
    </x:row>
    <x:row r="572">
      <x:c r="A572" t="n">
        <x:v>10930</x:v>
      </x:c>
      <x:c r="B572" s="10" t="n">
        <x:v>45864</x:v>
      </x:c>
      <x:c r="C572" t="str">
        <x:v>P001</x:v>
      </x:c>
      <x:c r="D572" t="str">
        <x:v>Laptop</x:v>
      </x:c>
      <x:c r="E572" t="str">
        <x:v>Electronics</x:v>
      </x:c>
      <x:c r="F572" t="str">
        <x:v>Midlands</x:v>
      </x:c>
      <x:c r="G572" t="str">
        <x:v>Partner</x:v>
      </x:c>
      <x:c r="H572" t="str">
        <x:v>Completed</x:v>
      </x:c>
      <x:c r="I572" t="n">
        <x:v>4</x:v>
      </x:c>
      <x:c r="J572" s="12" t="n">
        <x:v>914.4</x:v>
      </x:c>
      <x:c r="K572" s="12" t="n">
        <x:v>628.3</x:v>
      </x:c>
      <x:c r="L572" s="14" t="n">
        <x:v>0</x:v>
      </x:c>
      <x:c r="M572" s="12" t="n">
        <x:f>IF(H572="Completed",I572*J572*(1-L572),0)</x:f>
        <x:v>3657.6</x:v>
      </x:c>
      <x:c r="N572" s="12" t="n">
        <x:f>IF(H572="Completed",I572*K572,0)</x:f>
        <x:v>2513.2</x:v>
      </x:c>
      <x:c r="O572" s="12" t="n">
        <x:f>M572-N572</x:f>
        <x:v>1144.4</x:v>
      </x:c>
      <x:c r="P572" s="16" t="n">
        <x:f>IFERROR(O572/M572,0)</x:f>
        <x:v>0.3128827646544182</x:v>
      </x:c>
      <x:c r="Q572" t="n">
        <x:f>YEAR(B572)</x:f>
        <x:v>2025</x:v>
      </x:c>
      <x:c r="R572" t="str">
        <x:f>TEXT(B572,"yyyy-mm")</x:f>
        <x:v>2025-07</x:v>
      </x:c>
    </x:row>
    <x:row r="573">
      <x:c r="A573" t="n">
        <x:v>10011</x:v>
      </x:c>
      <x:c r="B573" s="10" t="n">
        <x:v>45866</x:v>
      </x:c>
      <x:c r="C573" t="str">
        <x:v>P005</x:v>
      </x:c>
      <x:c r="D573" t="str">
        <x:v>Desk</x:v>
      </x:c>
      <x:c r="E573" t="str">
        <x:v>Furniture</x:v>
      </x:c>
      <x:c r="F573" t="str">
        <x:v>Wales</x:v>
      </x:c>
      <x:c r="G573" t="str">
        <x:v>Online</x:v>
      </x:c>
      <x:c r="H573" t="str">
        <x:v>Completed</x:v>
      </x:c>
      <x:c r="I573" t="n">
        <x:v>4</x:v>
      </x:c>
      <x:c r="J573" s="12" t="n">
        <x:v>276.56</x:v>
      </x:c>
      <x:c r="K573" s="12" t="n">
        <x:v>152.6</x:v>
      </x:c>
      <x:c r="L573" s="14" t="n">
        <x:v>0</x:v>
      </x:c>
      <x:c r="M573" s="12" t="n">
        <x:f>IF(H573="Completed",I573*J573*(1-L573),0)</x:f>
        <x:v>1106.24</x:v>
      </x:c>
      <x:c r="N573" s="12" t="n">
        <x:f>IF(H573="Completed",I573*K573,0)</x:f>
        <x:v>610.4</x:v>
      </x:c>
      <x:c r="O573" s="12" t="n">
        <x:f>M573-N573</x:f>
        <x:v>495.84000000000003</x:v>
      </x:c>
      <x:c r="P573" s="16" t="n">
        <x:f>IFERROR(O573/M573,0)</x:f>
        <x:v>0.4482210008678045</x:v>
      </x:c>
      <x:c r="Q573" t="n">
        <x:f>YEAR(B573)</x:f>
        <x:v>2025</x:v>
      </x:c>
      <x:c r="R573" t="str">
        <x:f>TEXT(B573,"yyyy-mm")</x:f>
        <x:v>2025-07</x:v>
      </x:c>
    </x:row>
    <x:row r="574">
      <x:c r="A574" t="n">
        <x:v>10588</x:v>
      </x:c>
      <x:c r="B574" s="10" t="n">
        <x:v>45866</x:v>
      </x:c>
      <x:c r="C574" t="str">
        <x:v>P004</x:v>
      </x:c>
      <x:c r="D574" t="str">
        <x:v>Mouse</x:v>
      </x:c>
      <x:c r="E574" t="str">
        <x:v>Accessories</x:v>
      </x:c>
      <x:c r="F574" t="str">
        <x:v>North</x:v>
      </x:c>
      <x:c r="G574" t="str">
        <x:v>Retail</x:v>
      </x:c>
      <x:c r="H574" t="str">
        <x:v>Completed</x:v>
      </x:c>
      <x:c r="I574" t="n">
        <x:v>2</x:v>
      </x:c>
      <x:c r="J574" s="12" t="n">
        <x:v>27.94</x:v>
      </x:c>
      <x:c r="K574" s="12" t="n">
        <x:v>12.8</x:v>
      </x:c>
      <x:c r="L574" s="14" t="n">
        <x:v>0.15</x:v>
      </x:c>
      <x:c r="M574" s="12" t="n">
        <x:f>IF(H574="Completed",I574*J574*(1-L574),0)</x:f>
        <x:v>47.498</x:v>
      </x:c>
      <x:c r="N574" s="12" t="n">
        <x:f>IF(H574="Completed",I574*K574,0)</x:f>
        <x:v>25.6</x:v>
      </x:c>
      <x:c r="O574" s="12" t="n">
        <x:f>M574-N574</x:f>
        <x:v>21.897999999999996</x:v>
      </x:c>
      <x:c r="P574" s="16" t="n">
        <x:f>IFERROR(O574/M574,0)</x:f>
        <x:v>0.4610299381026569</x:v>
      </x:c>
      <x:c r="Q574" t="n">
        <x:f>YEAR(B574)</x:f>
        <x:v>2025</x:v>
      </x:c>
      <x:c r="R574" t="str">
        <x:f>TEXT(B574,"yyyy-mm")</x:f>
        <x:v>2025-07</x:v>
      </x:c>
    </x:row>
    <x:row r="575">
      <x:c r="A575" t="n">
        <x:v>10745</x:v>
      </x:c>
      <x:c r="B575" s="10" t="n">
        <x:v>45866</x:v>
      </x:c>
      <x:c r="C575" t="str">
        <x:v>P002</x:v>
      </x:c>
      <x:c r="D575" t="str">
        <x:v>Monitor</x:v>
      </x:c>
      <x:c r="E575" t="str">
        <x:v>Electronics</x:v>
      </x:c>
      <x:c r="F575" t="str">
        <x:v>South</x:v>
      </x:c>
      <x:c r="G575" t="str">
        <x:v>Online</x:v>
      </x:c>
      <x:c r="H575" t="str">
        <x:v>Completed</x:v>
      </x:c>
      <x:c r="I575" t="n">
        <x:v>2</x:v>
      </x:c>
      <x:c r="J575" s="12" t="n">
        <x:v>282.21</x:v>
      </x:c>
      <x:c r="K575" s="12" t="n">
        <x:v>173.45</x:v>
      </x:c>
      <x:c r="L575" s="14" t="n">
        <x:v>0.05</x:v>
      </x:c>
      <x:c r="M575" s="12" t="n">
        <x:f>IF(H575="Completed",I575*J575*(1-L575),0)</x:f>
        <x:v>536.199</x:v>
      </x:c>
      <x:c r="N575" s="12" t="n">
        <x:f>IF(H575="Completed",I575*K575,0)</x:f>
        <x:v>346.9</x:v>
      </x:c>
      <x:c r="O575" s="12" t="n">
        <x:f>M575-N575</x:f>
        <x:v>189.29899999999998</x:v>
      </x:c>
      <x:c r="P575" s="16" t="n">
        <x:f>IFERROR(O575/M575,0)</x:f>
        <x:v>0.3530387039140319</x:v>
      </x:c>
      <x:c r="Q575" t="n">
        <x:f>YEAR(B575)</x:f>
        <x:v>2025</x:v>
      </x:c>
      <x:c r="R575" t="str">
        <x:f>TEXT(B575,"yyyy-mm")</x:f>
        <x:v>2025-07</x:v>
      </x:c>
    </x:row>
    <x:row r="576">
      <x:c r="A576" t="n">
        <x:v>10891</x:v>
      </x:c>
      <x:c r="B576" s="10" t="n">
        <x:v>45866</x:v>
      </x:c>
      <x:c r="C576" t="str">
        <x:v>P002</x:v>
      </x:c>
      <x:c r="D576" t="str">
        <x:v>Monitor</x:v>
      </x:c>
      <x:c r="E576" t="str">
        <x:v>Electronics</x:v>
      </x:c>
      <x:c r="F576" t="str">
        <x:v>North</x:v>
      </x:c>
      <x:c r="G576" t="str">
        <x:v>Retail</x:v>
      </x:c>
      <x:c r="H576" t="str">
        <x:v>Cancelled</x:v>
      </x:c>
      <x:c r="I576" t="n">
        <x:v>1</x:v>
      </x:c>
      <x:c r="J576" s="12" t="n">
        <x:v>295.55</x:v>
      </x:c>
      <x:c r="K576" s="12" t="n">
        <x:v>171.03</x:v>
      </x:c>
      <x:c r="L576" s="14" t="n">
        <x:v>0</x:v>
      </x:c>
      <x:c r="M576" s="12" t="n">
        <x:f>IF(H576="Completed",I576*J576*(1-L576),0)</x:f>
        <x:v>0</x:v>
      </x:c>
      <x:c r="N576" s="12" t="n">
        <x:f>IF(H576="Completed",I576*K576,0)</x:f>
        <x:v>0</x:v>
      </x:c>
      <x:c r="O576" s="12" t="n">
        <x:f>M576-N576</x:f>
        <x:v>0</x:v>
      </x:c>
      <x:c r="P576" s="16" t="n">
        <x:f>IFERROR(O576/M576,0)</x:f>
        <x:v>0</x:v>
      </x:c>
      <x:c r="Q576" t="n">
        <x:f>YEAR(B576)</x:f>
        <x:v>2025</x:v>
      </x:c>
      <x:c r="R576" t="str">
        <x:f>TEXT(B576,"yyyy-mm")</x:f>
        <x:v>2025-07</x:v>
      </x:c>
    </x:row>
    <x:row r="577">
      <x:c r="A577" t="n">
        <x:v>10139</x:v>
      </x:c>
      <x:c r="B577" s="10" t="n">
        <x:v>45867</x:v>
      </x:c>
      <x:c r="C577" t="str">
        <x:v>P006</x:v>
      </x:c>
      <x:c r="D577" t="str">
        <x:v>Chair</x:v>
      </x:c>
      <x:c r="E577" t="str">
        <x:v>Furniture</x:v>
      </x:c>
      <x:c r="F577" t="str">
        <x:v>Midlands</x:v>
      </x:c>
      <x:c r="G577" t="str">
        <x:v>Partner</x:v>
      </x:c>
      <x:c r="H577" t="str">
        <x:v>Completed</x:v>
      </x:c>
      <x:c r="I577" t="n">
        <x:v>1</x:v>
      </x:c>
      <x:c r="J577" s="12" t="n">
        <x:v>131.44</x:v>
      </x:c>
      <x:c r="K577" s="12" t="n">
        <x:v>67.62</x:v>
      </x:c>
      <x:c r="L577" s="14" t="n">
        <x:v>0.15</x:v>
      </x:c>
      <x:c r="M577" s="12" t="n">
        <x:f>IF(H577="Completed",I577*J577*(1-L577),0)</x:f>
        <x:v>111.72399999999999</x:v>
      </x:c>
      <x:c r="N577" s="12" t="n">
        <x:f>IF(H577="Completed",I577*K577,0)</x:f>
        <x:v>67.62</x:v>
      </x:c>
      <x:c r="O577" s="12" t="n">
        <x:f>M577-N577</x:f>
        <x:v>44.103999999999985</x:v>
      </x:c>
      <x:c r="P577" s="16" t="n">
        <x:f>IFERROR(O577/M577,0)</x:f>
        <x:v>0.39475851204754564</x:v>
      </x:c>
      <x:c r="Q577" t="n">
        <x:f>YEAR(B577)</x:f>
        <x:v>2025</x:v>
      </x:c>
      <x:c r="R577" t="str">
        <x:f>TEXT(B577,"yyyy-mm")</x:f>
        <x:v>2025-07</x:v>
      </x:c>
    </x:row>
    <x:row r="578">
      <x:c r="A578" t="n">
        <x:v>10206</x:v>
      </x:c>
      <x:c r="B578" s="10" t="n">
        <x:v>45867</x:v>
      </x:c>
      <x:c r="C578" t="str">
        <x:v>P002</x:v>
      </x:c>
      <x:c r="D578" t="str">
        <x:v>Monitor</x:v>
      </x:c>
      <x:c r="E578" t="str">
        <x:v>Electronics</x:v>
      </x:c>
      <x:c r="F578" t="str">
        <x:v>Midlands</x:v>
      </x:c>
      <x:c r="G578" t="str">
        <x:v>Online</x:v>
      </x:c>
      <x:c r="H578" t="str">
        <x:v>Completed</x:v>
      </x:c>
      <x:c r="I578" t="n">
        <x:v>3</x:v>
      </x:c>
      <x:c r="J578" s="12" t="n">
        <x:v>279.26</x:v>
      </x:c>
      <x:c r="K578" s="12" t="n">
        <x:v>167.03</x:v>
      </x:c>
      <x:c r="L578" s="14" t="n">
        <x:v>0</x:v>
      </x:c>
      <x:c r="M578" s="12" t="n">
        <x:f>IF(H578="Completed",I578*J578*(1-L578),0)</x:f>
        <x:v>837.78</x:v>
      </x:c>
      <x:c r="N578" s="12" t="n">
        <x:f>IF(H578="Completed",I578*K578,0)</x:f>
        <x:v>501.09000000000003</x:v>
      </x:c>
      <x:c r="O578" s="12" t="n">
        <x:f>M578-N578</x:f>
        <x:v>336.68999999999994</x:v>
      </x:c>
      <x:c r="P578" s="16" t="n">
        <x:f>IFERROR(O578/M578,0)</x:f>
        <x:v>0.4018835493805056</x:v>
      </x:c>
      <x:c r="Q578" t="n">
        <x:f>YEAR(B578)</x:f>
        <x:v>2025</x:v>
      </x:c>
      <x:c r="R578" t="str">
        <x:f>TEXT(B578,"yyyy-mm")</x:f>
        <x:v>2025-07</x:v>
      </x:c>
    </x:row>
    <x:row r="579">
      <x:c r="A579" t="n">
        <x:v>10830</x:v>
      </x:c>
      <x:c r="B579" s="10" t="n">
        <x:v>45868</x:v>
      </x:c>
      <x:c r="C579" t="str">
        <x:v>P004</x:v>
      </x:c>
      <x:c r="D579" t="str">
        <x:v>Mouse</x:v>
      </x:c>
      <x:c r="E579" t="str">
        <x:v>Accessories</x:v>
      </x:c>
      <x:c r="F579" t="str">
        <x:v>South</x:v>
      </x:c>
      <x:c r="G579" t="str">
        <x:v>Retail</x:v>
      </x:c>
      <x:c r="H579" t="str">
        <x:v>Completed</x:v>
      </x:c>
      <x:c r="I579" t="n">
        <x:v>1</x:v>
      </x:c>
      <x:c r="J579" s="12" t="n">
        <x:v>26.66</x:v>
      </x:c>
      <x:c r="K579" s="12" t="n">
        <x:v>13.06</x:v>
      </x:c>
      <x:c r="L579" s="14" t="n">
        <x:v>0</x:v>
      </x:c>
      <x:c r="M579" s="12" t="n">
        <x:f>IF(H579="Completed",I579*J579*(1-L579),0)</x:f>
        <x:v>26.66</x:v>
      </x:c>
      <x:c r="N579" s="12" t="n">
        <x:f>IF(H579="Completed",I579*K579,0)</x:f>
        <x:v>13.06</x:v>
      </x:c>
      <x:c r="O579" s="12" t="n">
        <x:f>M579-N579</x:f>
        <x:v>13.6</x:v>
      </x:c>
      <x:c r="P579" s="16" t="n">
        <x:f>IFERROR(O579/M579,0)</x:f>
        <x:v>0.5101275318829708</x:v>
      </x:c>
      <x:c r="Q579" t="n">
        <x:f>YEAR(B579)</x:f>
        <x:v>2025</x:v>
      </x:c>
      <x:c r="R579" t="str">
        <x:f>TEXT(B579,"yyyy-mm")</x:f>
        <x:v>2025-07</x:v>
      </x:c>
    </x:row>
    <x:row r="580">
      <x:c r="A580" t="n">
        <x:v>10274</x:v>
      </x:c>
      <x:c r="B580" s="10" t="n">
        <x:v>45872</x:v>
      </x:c>
      <x:c r="C580" t="str">
        <x:v>P007</x:v>
      </x:c>
      <x:c r="D580" t="str">
        <x:v>Headset</x:v>
      </x:c>
      <x:c r="E580" t="str">
        <x:v>Accessories</x:v>
      </x:c>
      <x:c r="F580" t="str">
        <x:v>Midlands</x:v>
      </x:c>
      <x:c r="G580" t="str">
        <x:v>Retail</x:v>
      </x:c>
      <x:c r="H580" t="str">
        <x:v>Completed</x:v>
      </x:c>
      <x:c r="I580" t="n">
        <x:v>3</x:v>
      </x:c>
      <x:c r="J580" s="12" t="n">
        <x:v>73.6</x:v>
      </x:c>
      <x:c r="K580" s="12" t="n">
        <x:v>34.91</x:v>
      </x:c>
      <x:c r="L580" s="14" t="n">
        <x:v>0.1</x:v>
      </x:c>
      <x:c r="M580" s="12" t="n">
        <x:f>IF(H580="Completed",I580*J580*(1-L580),0)</x:f>
        <x:v>198.72</x:v>
      </x:c>
      <x:c r="N580" s="12" t="n">
        <x:f>IF(H580="Completed",I580*K580,0)</x:f>
        <x:v>104.72999999999999</x:v>
      </x:c>
      <x:c r="O580" s="12" t="n">
        <x:f>M580-N580</x:f>
        <x:v>93.99000000000001</x:v>
      </x:c>
      <x:c r="P580" s="16" t="n">
        <x:f>IFERROR(O580/M580,0)</x:f>
        <x:v>0.4729770531400967</x:v>
      </x:c>
      <x:c r="Q580" t="n">
        <x:f>YEAR(B580)</x:f>
        <x:v>2025</x:v>
      </x:c>
      <x:c r="R580" t="str">
        <x:f>TEXT(B580,"yyyy-mm")</x:f>
        <x:v>2025-08</x:v>
      </x:c>
    </x:row>
    <x:row r="581">
      <x:c r="A581" t="n">
        <x:v>10791</x:v>
      </x:c>
      <x:c r="B581" s="10" t="n">
        <x:v>45872</x:v>
      </x:c>
      <x:c r="C581" t="str">
        <x:v>P008</x:v>
      </x:c>
      <x:c r="D581" t="str">
        <x:v>Webcam</x:v>
      </x:c>
      <x:c r="E581" t="str">
        <x:v>Electronics</x:v>
      </x:c>
      <x:c r="F581" t="str">
        <x:v>North</x:v>
      </x:c>
      <x:c r="G581" t="str">
        <x:v>Retail</x:v>
      </x:c>
      <x:c r="H581" t="str">
        <x:v>Completed</x:v>
      </x:c>
      <x:c r="I581" t="n">
        <x:v>4</x:v>
      </x:c>
      <x:c r="J581" s="12" t="n">
        <x:v>91.34</x:v>
      </x:c>
      <x:c r="K581" s="12" t="n">
        <x:v>42.07</x:v>
      </x:c>
      <x:c r="L581" s="14" t="n">
        <x:v>0.1</x:v>
      </x:c>
      <x:c r="M581" s="12" t="n">
        <x:f>IF(H581="Completed",I581*J581*(1-L581),0)</x:f>
        <x:v>328.824</x:v>
      </x:c>
      <x:c r="N581" s="12" t="n">
        <x:f>IF(H581="Completed",I581*K581,0)</x:f>
        <x:v>168.28</x:v>
      </x:c>
      <x:c r="O581" s="12" t="n">
        <x:f>M581-N581</x:f>
        <x:v>160.544</x:v>
      </x:c>
      <x:c r="P581" s="16" t="n">
        <x:f>IFERROR(O581/M581,0)</x:f>
        <x:v>0.48823686835510793</x:v>
      </x:c>
      <x:c r="Q581" t="n">
        <x:f>YEAR(B581)</x:f>
        <x:v>2025</x:v>
      </x:c>
      <x:c r="R581" t="str">
        <x:f>TEXT(B581,"yyyy-mm")</x:f>
        <x:v>2025-08</x:v>
      </x:c>
    </x:row>
    <x:row r="582">
      <x:c r="A582" t="n">
        <x:v>10388</x:v>
      </x:c>
      <x:c r="B582" s="10" t="n">
        <x:v>45877</x:v>
      </x:c>
      <x:c r="C582" t="str">
        <x:v>P003</x:v>
      </x:c>
      <x:c r="D582" t="str">
        <x:v>Keyboard</x:v>
      </x:c>
      <x:c r="E582" t="str">
        <x:v>Accessories</x:v>
      </x:c>
      <x:c r="F582" t="str">
        <x:v>Wales</x:v>
      </x:c>
      <x:c r="G582" t="str">
        <x:v>Online</x:v>
      </x:c>
      <x:c r="H582" t="str">
        <x:v>Completed</x:v>
      </x:c>
      <x:c r="I582" t="n">
        <x:v>1</x:v>
      </x:c>
      <x:c r="J582" s="12" t="n">
        <x:v>50.3</x:v>
      </x:c>
      <x:c r="K582" s="12" t="n">
        <x:v>25.64</x:v>
      </x:c>
      <x:c r="L582" s="14" t="n">
        <x:v>0</x:v>
      </x:c>
      <x:c r="M582" s="12" t="n">
        <x:f>IF(H582="Completed",I582*J582*(1-L582),0)</x:f>
        <x:v>50.3</x:v>
      </x:c>
      <x:c r="N582" s="12" t="n">
        <x:f>IF(H582="Completed",I582*K582,0)</x:f>
        <x:v>25.64</x:v>
      </x:c>
      <x:c r="O582" s="12" t="n">
        <x:f>M582-N582</x:f>
        <x:v>24.659999999999997</x:v>
      </x:c>
      <x:c r="P582" s="16" t="n">
        <x:f>IFERROR(O582/M582,0)</x:f>
        <x:v>0.4902584493041749</x:v>
      </x:c>
      <x:c r="Q582" t="n">
        <x:f>YEAR(B582)</x:f>
        <x:v>2025</x:v>
      </x:c>
      <x:c r="R582" t="str">
        <x:f>TEXT(B582,"yyyy-mm")</x:f>
        <x:v>2025-08</x:v>
      </x:c>
    </x:row>
    <x:row r="583">
      <x:c r="A583" t="n">
        <x:v>10393</x:v>
      </x:c>
      <x:c r="B583" s="10" t="n">
        <x:v>45877</x:v>
      </x:c>
      <x:c r="C583" t="str">
        <x:v>P008</x:v>
      </x:c>
      <x:c r="D583" t="str">
        <x:v>Webcam</x:v>
      </x:c>
      <x:c r="E583" t="str">
        <x:v>Electronics</x:v>
      </x:c>
      <x:c r="F583" t="str">
        <x:v>North</x:v>
      </x:c>
      <x:c r="G583" t="str">
        <x:v>Online</x:v>
      </x:c>
      <x:c r="H583" t="str">
        <x:v>Cancelled</x:v>
      </x:c>
      <x:c r="I583" t="n">
        <x:v>1</x:v>
      </x:c>
      <x:c r="J583" s="12" t="n">
        <x:v>90.57</x:v>
      </x:c>
      <x:c r="K583" s="12" t="n">
        <x:v>42</x:v>
      </x:c>
      <x:c r="L583" s="14" t="n">
        <x:v>0.1</x:v>
      </x:c>
      <x:c r="M583" s="12" t="n">
        <x:f>IF(H583="Completed",I583*J583*(1-L583),0)</x:f>
        <x:v>0</x:v>
      </x:c>
      <x:c r="N583" s="12" t="n">
        <x:f>IF(H583="Completed",I583*K583,0)</x:f>
        <x:v>0</x:v>
      </x:c>
      <x:c r="O583" s="12" t="n">
        <x:f>M583-N583</x:f>
        <x:v>0</x:v>
      </x:c>
      <x:c r="P583" s="16" t="n">
        <x:f>IFERROR(O583/M583,0)</x:f>
        <x:v>0</x:v>
      </x:c>
      <x:c r="Q583" t="n">
        <x:f>YEAR(B583)</x:f>
        <x:v>2025</x:v>
      </x:c>
      <x:c r="R583" t="str">
        <x:f>TEXT(B583,"yyyy-mm")</x:f>
        <x:v>2025-08</x:v>
      </x:c>
    </x:row>
    <x:row r="584">
      <x:c r="A584" t="n">
        <x:v>10373</x:v>
      </x:c>
      <x:c r="B584" s="10" t="n">
        <x:v>45878</x:v>
      </x:c>
      <x:c r="C584" t="str">
        <x:v>P007</x:v>
      </x:c>
      <x:c r="D584" t="str">
        <x:v>Headset</x:v>
      </x:c>
      <x:c r="E584" t="str">
        <x:v>Accessories</x:v>
      </x:c>
      <x:c r="F584" t="str">
        <x:v>North</x:v>
      </x:c>
      <x:c r="G584" t="str">
        <x:v>Online</x:v>
      </x:c>
      <x:c r="H584" t="str">
        <x:v>Cancelled</x:v>
      </x:c>
      <x:c r="I584" t="n">
        <x:v>1</x:v>
      </x:c>
      <x:c r="J584" s="12" t="n">
        <x:v>73.06</x:v>
      </x:c>
      <x:c r="K584" s="12" t="n">
        <x:v>34.48</x:v>
      </x:c>
      <x:c r="L584" s="14" t="n">
        <x:v>0</x:v>
      </x:c>
      <x:c r="M584" s="12" t="n">
        <x:f>IF(H584="Completed",I584*J584*(1-L584),0)</x:f>
        <x:v>0</x:v>
      </x:c>
      <x:c r="N584" s="12" t="n">
        <x:f>IF(H584="Completed",I584*K584,0)</x:f>
        <x:v>0</x:v>
      </x:c>
      <x:c r="O584" s="12" t="n">
        <x:f>M584-N584</x:f>
        <x:v>0</x:v>
      </x:c>
      <x:c r="P584" s="16" t="n">
        <x:f>IFERROR(O584/M584,0)</x:f>
        <x:v>0</x:v>
      </x:c>
      <x:c r="Q584" t="n">
        <x:f>YEAR(B584)</x:f>
        <x:v>2025</x:v>
      </x:c>
      <x:c r="R584" t="str">
        <x:f>TEXT(B584,"yyyy-mm")</x:f>
        <x:v>2025-08</x:v>
      </x:c>
    </x:row>
    <x:row r="585">
      <x:c r="A585" t="n">
        <x:v>10387</x:v>
      </x:c>
      <x:c r="B585" s="10" t="n">
        <x:v>45878</x:v>
      </x:c>
      <x:c r="C585" t="str">
        <x:v>P004</x:v>
      </x:c>
      <x:c r="D585" t="str">
        <x:v>Mouse</x:v>
      </x:c>
      <x:c r="E585" t="str">
        <x:v>Accessories</x:v>
      </x:c>
      <x:c r="F585" t="str">
        <x:v>Midlands</x:v>
      </x:c>
      <x:c r="G585" t="str">
        <x:v>Online</x:v>
      </x:c>
      <x:c r="H585" t="str">
        <x:v>Completed</x:v>
      </x:c>
      <x:c r="I585" t="n">
        <x:v>4</x:v>
      </x:c>
      <x:c r="J585" s="12" t="n">
        <x:v>27.27</x:v>
      </x:c>
      <x:c r="K585" s="12" t="n">
        <x:v>13.08</x:v>
      </x:c>
      <x:c r="L585" s="14" t="n">
        <x:v>0.1</x:v>
      </x:c>
      <x:c r="M585" s="12" t="n">
        <x:f>IF(H585="Completed",I585*J585*(1-L585),0)</x:f>
        <x:v>98.172</x:v>
      </x:c>
      <x:c r="N585" s="12" t="n">
        <x:f>IF(H585="Completed",I585*K585,0)</x:f>
        <x:v>52.32</x:v>
      </x:c>
      <x:c r="O585" s="12" t="n">
        <x:f>M585-N585</x:f>
        <x:v>45.852</x:v>
      </x:c>
      <x:c r="P585" s="16" t="n">
        <x:f>IFERROR(O585/M585,0)</x:f>
        <x:v>0.46705781689280035</x:v>
      </x:c>
      <x:c r="Q585" t="n">
        <x:f>YEAR(B585)</x:f>
        <x:v>2025</x:v>
      </x:c>
      <x:c r="R585" t="str">
        <x:f>TEXT(B585,"yyyy-mm")</x:f>
        <x:v>2025-08</x:v>
      </x:c>
    </x:row>
    <x:row r="586">
      <x:c r="A586" t="n">
        <x:v>10601</x:v>
      </x:c>
      <x:c r="B586" s="10" t="n">
        <x:v>45878</x:v>
      </x:c>
      <x:c r="C586" t="str">
        <x:v>P003</x:v>
      </x:c>
      <x:c r="D586" t="str">
        <x:v>Keyboard</x:v>
      </x:c>
      <x:c r="E586" t="str">
        <x:v>Accessories</x:v>
      </x:c>
      <x:c r="F586" t="str">
        <x:v>Wales</x:v>
      </x:c>
      <x:c r="G586" t="str">
        <x:v>Partner</x:v>
      </x:c>
      <x:c r="H586" t="str">
        <x:v>Completed</x:v>
      </x:c>
      <x:c r="I586" t="n">
        <x:v>4</x:v>
      </x:c>
      <x:c r="J586" s="12" t="n">
        <x:v>49.39</x:v>
      </x:c>
      <x:c r="K586" s="12" t="n">
        <x:v>25.75</x:v>
      </x:c>
      <x:c r="L586" s="14" t="n">
        <x:v>0.05</x:v>
      </x:c>
      <x:c r="M586" s="12" t="n">
        <x:f>IF(H586="Completed",I586*J586*(1-L586),0)</x:f>
        <x:v>187.682</x:v>
      </x:c>
      <x:c r="N586" s="12" t="n">
        <x:f>IF(H586="Completed",I586*K586,0)</x:f>
        <x:v>103</x:v>
      </x:c>
      <x:c r="O586" s="12" t="n">
        <x:f>M586-N586</x:f>
        <x:v>84.68199999999999</x:v>
      </x:c>
      <x:c r="P586" s="16" t="n">
        <x:f>IFERROR(O586/M586,0)</x:f>
        <x:v>0.45119936914568254</x:v>
      </x:c>
      <x:c r="Q586" t="n">
        <x:f>YEAR(B586)</x:f>
        <x:v>2025</x:v>
      </x:c>
      <x:c r="R586" t="str">
        <x:f>TEXT(B586,"yyyy-mm")</x:f>
        <x:v>2025-08</x:v>
      </x:c>
    </x:row>
    <x:row r="587">
      <x:c r="A587" t="n">
        <x:v>10286</x:v>
      </x:c>
      <x:c r="B587" s="10" t="n">
        <x:v>45881</x:v>
      </x:c>
      <x:c r="C587" t="str">
        <x:v>P004</x:v>
      </x:c>
      <x:c r="D587" t="str">
        <x:v>Mouse</x:v>
      </x:c>
      <x:c r="E587" t="str">
        <x:v>Accessories</x:v>
      </x:c>
      <x:c r="F587" t="str">
        <x:v>Midlands</x:v>
      </x:c>
      <x:c r="G587" t="str">
        <x:v>Retail</x:v>
      </x:c>
      <x:c r="H587" t="str">
        <x:v>Completed</x:v>
      </x:c>
      <x:c r="I587" t="n">
        <x:v>3</x:v>
      </x:c>
      <x:c r="J587" s="12" t="n">
        <x:v>26.41</x:v>
      </x:c>
      <x:c r="K587" s="12" t="n">
        <x:v>13.11</x:v>
      </x:c>
      <x:c r="L587" s="14" t="n">
        <x:v>0</x:v>
      </x:c>
      <x:c r="M587" s="12" t="n">
        <x:f>IF(H587="Completed",I587*J587*(1-L587),0)</x:f>
        <x:v>79.23</x:v>
      </x:c>
      <x:c r="N587" s="12" t="n">
        <x:f>IF(H587="Completed",I587*K587,0)</x:f>
        <x:v>39.33</x:v>
      </x:c>
      <x:c r="O587" s="12" t="n">
        <x:f>M587-N587</x:f>
        <x:v>39.900000000000006</x:v>
      </x:c>
      <x:c r="P587" s="16" t="n">
        <x:f>IFERROR(O587/M587,0)</x:f>
        <x:v>0.5035971223021584</x:v>
      </x:c>
      <x:c r="Q587" t="n">
        <x:f>YEAR(B587)</x:f>
        <x:v>2025</x:v>
      </x:c>
      <x:c r="R587" t="str">
        <x:f>TEXT(B587,"yyyy-mm")</x:f>
        <x:v>2025-08</x:v>
      </x:c>
    </x:row>
    <x:row r="588">
      <x:c r="A588" t="n">
        <x:v>10338</x:v>
      </x:c>
      <x:c r="B588" s="10" t="n">
        <x:v>45882</x:v>
      </x:c>
      <x:c r="C588" t="str">
        <x:v>P002</x:v>
      </x:c>
      <x:c r="D588" t="str">
        <x:v>Monitor</x:v>
      </x:c>
      <x:c r="E588" t="str">
        <x:v>Electronics</x:v>
      </x:c>
      <x:c r="F588" t="str">
        <x:v>Midlands</x:v>
      </x:c>
      <x:c r="G588" t="str">
        <x:v>Online</x:v>
      </x:c>
      <x:c r="H588" t="str">
        <x:v>Completed</x:v>
      </x:c>
      <x:c r="I588" t="n">
        <x:v>4</x:v>
      </x:c>
      <x:c r="J588" s="12" t="n">
        <x:v>279.78</x:v>
      </x:c>
      <x:c r="K588" s="12" t="n">
        <x:v>167.94</x:v>
      </x:c>
      <x:c r="L588" s="14" t="n">
        <x:v>0.1</x:v>
      </x:c>
      <x:c r="M588" s="12" t="n">
        <x:f>IF(H588="Completed",I588*J588*(1-L588),0)</x:f>
        <x:v>1007.208</x:v>
      </x:c>
      <x:c r="N588" s="12" t="n">
        <x:f>IF(H588="Completed",I588*K588,0)</x:f>
        <x:v>671.76</x:v>
      </x:c>
      <x:c r="O588" s="12" t="n">
        <x:f>M588-N588</x:f>
        <x:v>335.448</x:v>
      </x:c>
      <x:c r="P588" s="16" t="n">
        <x:f>IFERROR(O588/M588,0)</x:f>
        <x:v>0.3330473943812996</x:v>
      </x:c>
      <x:c r="Q588" t="n">
        <x:f>YEAR(B588)</x:f>
        <x:v>2025</x:v>
      </x:c>
      <x:c r="R588" t="str">
        <x:f>TEXT(B588,"yyyy-mm")</x:f>
        <x:v>2025-08</x:v>
      </x:c>
    </x:row>
    <x:row r="589">
      <x:c r="A589" t="n">
        <x:v>10623</x:v>
      </x:c>
      <x:c r="B589" s="10" t="n">
        <x:v>45883</x:v>
      </x:c>
      <x:c r="C589" t="str">
        <x:v>P005</x:v>
      </x:c>
      <x:c r="D589" t="str">
        <x:v>Desk</x:v>
      </x:c>
      <x:c r="E589" t="str">
        <x:v>Furniture</x:v>
      </x:c>
      <x:c r="F589" t="str">
        <x:v>Wales</x:v>
      </x:c>
      <x:c r="G589" t="str">
        <x:v>Online</x:v>
      </x:c>
      <x:c r="H589" t="str">
        <x:v>Completed</x:v>
      </x:c>
      <x:c r="I589" t="n">
        <x:v>3</x:v>
      </x:c>
      <x:c r="J589" s="12" t="n">
        <x:v>269.86</x:v>
      </x:c>
      <x:c r="K589" s="12" t="n">
        <x:v>154.1</x:v>
      </x:c>
      <x:c r="L589" s="14" t="n">
        <x:v>0</x:v>
      </x:c>
      <x:c r="M589" s="12" t="n">
        <x:f>IF(H589="Completed",I589*J589*(1-L589),0)</x:f>
        <x:v>809.58</x:v>
      </x:c>
      <x:c r="N589" s="12" t="n">
        <x:f>IF(H589="Completed",I589*K589,0)</x:f>
        <x:v>462.29999999999995</x:v>
      </x:c>
      <x:c r="O589" s="12" t="n">
        <x:f>M589-N589</x:f>
        <x:v>347.2800000000001</x:v>
      </x:c>
      <x:c r="P589" s="16" t="n">
        <x:f>IFERROR(O589/M589,0)</x:f>
        <x:v>0.4289631660861188</x:v>
      </x:c>
      <x:c r="Q589" t="n">
        <x:f>YEAR(B589)</x:f>
        <x:v>2025</x:v>
      </x:c>
      <x:c r="R589" t="str">
        <x:f>TEXT(B589,"yyyy-mm")</x:f>
        <x:v>2025-08</x:v>
      </x:c>
    </x:row>
    <x:row r="590">
      <x:c r="A590" t="n">
        <x:v>10413</x:v>
      </x:c>
      <x:c r="B590" s="10" t="n">
        <x:v>45889</x:v>
      </x:c>
      <x:c r="C590" t="str">
        <x:v>P002</x:v>
      </x:c>
      <x:c r="D590" t="str">
        <x:v>Monitor</x:v>
      </x:c>
      <x:c r="E590" t="str">
        <x:v>Electronics</x:v>
      </x:c>
      <x:c r="F590" t="str">
        <x:v>Wales</x:v>
      </x:c>
      <x:c r="G590" t="str">
        <x:v>Online</x:v>
      </x:c>
      <x:c r="H590" t="str">
        <x:v>Completed</x:v>
      </x:c>
      <x:c r="I590" t="n">
        <x:v>4</x:v>
      </x:c>
      <x:c r="J590" s="12" t="n">
        <x:v>282.4</x:v>
      </x:c>
      <x:c r="K590" s="12" t="n">
        <x:v>167.06</x:v>
      </x:c>
      <x:c r="L590" s="14" t="n">
        <x:v>0.1</x:v>
      </x:c>
      <x:c r="M590" s="12" t="n">
        <x:f>IF(H590="Completed",I590*J590*(1-L590),0)</x:f>
        <x:v>1016.64</x:v>
      </x:c>
      <x:c r="N590" s="12" t="n">
        <x:f>IF(H590="Completed",I590*K590,0)</x:f>
        <x:v>668.24</x:v>
      </x:c>
      <x:c r="O590" s="12" t="n">
        <x:f>M590-N590</x:f>
        <x:v>348.4</x:v>
      </x:c>
      <x:c r="P590" s="16" t="n">
        <x:f>IFERROR(O590/M590,0)</x:f>
        <x:v>0.34269751337740006</x:v>
      </x:c>
      <x:c r="Q590" t="n">
        <x:f>YEAR(B590)</x:f>
        <x:v>2025</x:v>
      </x:c>
      <x:c r="R590" t="str">
        <x:f>TEXT(B590,"yyyy-mm")</x:f>
        <x:v>2025-08</x:v>
      </x:c>
    </x:row>
    <x:row r="591">
      <x:c r="A591" t="n">
        <x:v>10405</x:v>
      </x:c>
      <x:c r="B591" s="10" t="n">
        <x:v>45890</x:v>
      </x:c>
      <x:c r="C591" t="str">
        <x:v>P002</x:v>
      </x:c>
      <x:c r="D591" t="str">
        <x:v>Monitor</x:v>
      </x:c>
      <x:c r="E591" t="str">
        <x:v>Electronics</x:v>
      </x:c>
      <x:c r="F591" t="str">
        <x:v>South</x:v>
      </x:c>
      <x:c r="G591" t="str">
        <x:v>Retail</x:v>
      </x:c>
      <x:c r="H591" t="str">
        <x:v>Completed</x:v>
      </x:c>
      <x:c r="I591" t="n">
        <x:v>1</x:v>
      </x:c>
      <x:c r="J591" s="12" t="n">
        <x:v>289.36</x:v>
      </x:c>
      <x:c r="K591" s="12" t="n">
        <x:v>171.78</x:v>
      </x:c>
      <x:c r="L591" s="14" t="n">
        <x:v>0.1</x:v>
      </x:c>
      <x:c r="M591" s="12" t="n">
        <x:f>IF(H591="Completed",I591*J591*(1-L591),0)</x:f>
        <x:v>260.42400000000004</x:v>
      </x:c>
      <x:c r="N591" s="12" t="n">
        <x:f>IF(H591="Completed",I591*K591,0)</x:f>
        <x:v>171.78</x:v>
      </x:c>
      <x:c r="O591" s="12" t="n">
        <x:f>M591-N591</x:f>
        <x:v>88.64400000000003</x:v>
      </x:c>
      <x:c r="P591" s="16" t="n">
        <x:f>IFERROR(O591/M591,0)</x:f>
        <x:v>0.3403833748041656</x:v>
      </x:c>
      <x:c r="Q591" t="n">
        <x:f>YEAR(B591)</x:f>
        <x:v>2025</x:v>
      </x:c>
      <x:c r="R591" t="str">
        <x:f>TEXT(B591,"yyyy-mm")</x:f>
        <x:v>2025-08</x:v>
      </x:c>
    </x:row>
    <x:row r="592">
      <x:c r="A592" t="n">
        <x:v>10370</x:v>
      </x:c>
      <x:c r="B592" s="10" t="n">
        <x:v>45892</x:v>
      </x:c>
      <x:c r="C592" t="str">
        <x:v>P002</x:v>
      </x:c>
      <x:c r="D592" t="str">
        <x:v>Monitor</x:v>
      </x:c>
      <x:c r="E592" t="str">
        <x:v>Electronics</x:v>
      </x:c>
      <x:c r="F592" t="str">
        <x:v>Midlands</x:v>
      </x:c>
      <x:c r="G592" t="str">
        <x:v>Online</x:v>
      </x:c>
      <x:c r="H592" t="str">
        <x:v>Completed</x:v>
      </x:c>
      <x:c r="I592" t="n">
        <x:v>3</x:v>
      </x:c>
      <x:c r="J592" s="12" t="n">
        <x:v>295.38</x:v>
      </x:c>
      <x:c r="K592" s="12" t="n">
        <x:v>173.33</x:v>
      </x:c>
      <x:c r="L592" s="14" t="n">
        <x:v>0.15</x:v>
      </x:c>
      <x:c r="M592" s="12" t="n">
        <x:f>IF(H592="Completed",I592*J592*(1-L592),0)</x:f>
        <x:v>753.2189999999999</x:v>
      </x:c>
      <x:c r="N592" s="12" t="n">
        <x:f>IF(H592="Completed",I592*K592,0)</x:f>
        <x:v>519.99</x:v>
      </x:c>
      <x:c r="O592" s="12" t="n">
        <x:f>M592-N592</x:f>
        <x:v>233.22899999999993</x:v>
      </x:c>
      <x:c r="P592" s="16" t="n">
        <x:f>IFERROR(O592/M592,0)</x:f>
        <x:v>0.3096430121916733</x:v>
      </x:c>
      <x:c r="Q592" t="n">
        <x:f>YEAR(B592)</x:f>
        <x:v>2025</x:v>
      </x:c>
      <x:c r="R592" t="str">
        <x:f>TEXT(B592,"yyyy-mm")</x:f>
        <x:v>2025-08</x:v>
      </x:c>
    </x:row>
    <x:row r="593">
      <x:c r="A593" t="n">
        <x:v>10898</x:v>
      </x:c>
      <x:c r="B593" s="10" t="n">
        <x:v>45892</x:v>
      </x:c>
      <x:c r="C593" t="str">
        <x:v>P004</x:v>
      </x:c>
      <x:c r="D593" t="str">
        <x:v>Mouse</x:v>
      </x:c>
      <x:c r="E593" t="str">
        <x:v>Accessories</x:v>
      </x:c>
      <x:c r="F593" t="str">
        <x:v>South</x:v>
      </x:c>
      <x:c r="G593" t="str">
        <x:v>Online</x:v>
      </x:c>
      <x:c r="H593" t="str">
        <x:v>Completed</x:v>
      </x:c>
      <x:c r="I593" t="n">
        <x:v>4</x:v>
      </x:c>
      <x:c r="J593" s="12" t="n">
        <x:v>26.3</x:v>
      </x:c>
      <x:c r="K593" s="12" t="n">
        <x:v>13.04</x:v>
      </x:c>
      <x:c r="L593" s="14" t="n">
        <x:v>0</x:v>
      </x:c>
      <x:c r="M593" s="12" t="n">
        <x:f>IF(H593="Completed",I593*J593*(1-L593),0)</x:f>
        <x:v>105.2</x:v>
      </x:c>
      <x:c r="N593" s="12" t="n">
        <x:f>IF(H593="Completed",I593*K593,0)</x:f>
        <x:v>52.16</x:v>
      </x:c>
      <x:c r="O593" s="12" t="n">
        <x:f>M593-N593</x:f>
        <x:v>53.040000000000006</x:v>
      </x:c>
      <x:c r="P593" s="16" t="n">
        <x:f>IFERROR(O593/M593,0)</x:f>
        <x:v>0.5041825095057034</x:v>
      </x:c>
      <x:c r="Q593" t="n">
        <x:f>YEAR(B593)</x:f>
        <x:v>2025</x:v>
      </x:c>
      <x:c r="R593" t="str">
        <x:f>TEXT(B593,"yyyy-mm")</x:f>
        <x:v>2025-08</x:v>
      </x:c>
    </x:row>
    <x:row r="594">
      <x:c r="A594" t="n">
        <x:v>10113</x:v>
      </x:c>
      <x:c r="B594" s="10" t="n">
        <x:v>45893</x:v>
      </x:c>
      <x:c r="C594" t="str">
        <x:v>P005</x:v>
      </x:c>
      <x:c r="D594" t="str">
        <x:v>Desk</x:v>
      </x:c>
      <x:c r="E594" t="str">
        <x:v>Furniture</x:v>
      </x:c>
      <x:c r="F594" t="str">
        <x:v>South</x:v>
      </x:c>
      <x:c r="G594" t="str">
        <x:v>Online</x:v>
      </x:c>
      <x:c r="H594" t="str">
        <x:v>Completed</x:v>
      </x:c>
      <x:c r="I594" t="n">
        <x:v>4</x:v>
      </x:c>
      <x:c r="J594" s="12" t="n">
        <x:v>285.99</x:v>
      </x:c>
      <x:c r="K594" s="12" t="n">
        <x:v>158.51</x:v>
      </x:c>
      <x:c r="L594" s="14" t="n">
        <x:v>0</x:v>
      </x:c>
      <x:c r="M594" s="12" t="n">
        <x:f>IF(H594="Completed",I594*J594*(1-L594),0)</x:f>
        <x:v>1143.96</x:v>
      </x:c>
      <x:c r="N594" s="12" t="n">
        <x:f>IF(H594="Completed",I594*K594,0)</x:f>
        <x:v>634.04</x:v>
      </x:c>
      <x:c r="O594" s="12" t="n">
        <x:f>M594-N594</x:f>
        <x:v>509.9200000000001</x:v>
      </x:c>
      <x:c r="P594" s="16" t="n">
        <x:f>IFERROR(O594/M594,0)</x:f>
        <x:v>0.4457498513934054</x:v>
      </x:c>
      <x:c r="Q594" t="n">
        <x:f>YEAR(B594)</x:f>
        <x:v>2025</x:v>
      </x:c>
      <x:c r="R594" t="str">
        <x:f>TEXT(B594,"yyyy-mm")</x:f>
        <x:v>2025-08</x:v>
      </x:c>
    </x:row>
    <x:row r="595">
      <x:c r="A595" t="n">
        <x:v>10773</x:v>
      </x:c>
      <x:c r="B595" s="10" t="n">
        <x:v>45896</x:v>
      </x:c>
      <x:c r="C595" t="str">
        <x:v>P002</x:v>
      </x:c>
      <x:c r="D595" t="str">
        <x:v>Monitor</x:v>
      </x:c>
      <x:c r="E595" t="str">
        <x:v>Electronics</x:v>
      </x:c>
      <x:c r="F595" t="str">
        <x:v>North</x:v>
      </x:c>
      <x:c r="G595" t="str">
        <x:v>Partner</x:v>
      </x:c>
      <x:c r="H595" t="str">
        <x:v>Completed</x:v>
      </x:c>
      <x:c r="I595" t="n">
        <x:v>2</x:v>
      </x:c>
      <x:c r="J595" s="12" t="n">
        <x:v>288.32</x:v>
      </x:c>
      <x:c r="K595" s="12" t="n">
        <x:v>175.02</x:v>
      </x:c>
      <x:c r="L595" s="14" t="n">
        <x:v>0</x:v>
      </x:c>
      <x:c r="M595" s="12" t="n">
        <x:f>IF(H595="Completed",I595*J595*(1-L595),0)</x:f>
        <x:v>576.64</x:v>
      </x:c>
      <x:c r="N595" s="12" t="n">
        <x:f>IF(H595="Completed",I595*K595,0)</x:f>
        <x:v>350.04</x:v>
      </x:c>
      <x:c r="O595" s="12" t="n">
        <x:f>M595-N595</x:f>
        <x:v>226.59999999999997</x:v>
      </x:c>
      <x:c r="P595" s="16" t="n">
        <x:f>IFERROR(O595/M595,0)</x:f>
        <x:v>0.39296614872364033</x:v>
      </x:c>
      <x:c r="Q595" t="n">
        <x:f>YEAR(B595)</x:f>
        <x:v>2025</x:v>
      </x:c>
      <x:c r="R595" t="str">
        <x:f>TEXT(B595,"yyyy-mm")</x:f>
        <x:v>2025-08</x:v>
      </x:c>
    </x:row>
    <x:row r="596">
      <x:c r="A596" t="n">
        <x:v>10717</x:v>
      </x:c>
      <x:c r="B596" s="10" t="n">
        <x:v>45897</x:v>
      </x:c>
      <x:c r="C596" t="str">
        <x:v>P003</x:v>
      </x:c>
      <x:c r="D596" t="str">
        <x:v>Keyboard</x:v>
      </x:c>
      <x:c r="E596" t="str">
        <x:v>Accessories</x:v>
      </x:c>
      <x:c r="F596" t="str">
        <x:v>Midlands</x:v>
      </x:c>
      <x:c r="G596" t="str">
        <x:v>Online</x:v>
      </x:c>
      <x:c r="H596" t="str">
        <x:v>Completed</x:v>
      </x:c>
      <x:c r="I596" t="n">
        <x:v>1</x:v>
      </x:c>
      <x:c r="J596" s="12" t="n">
        <x:v>50.17</x:v>
      </x:c>
      <x:c r="K596" s="12" t="n">
        <x:v>25.52</x:v>
      </x:c>
      <x:c r="L596" s="14" t="n">
        <x:v>0.15</x:v>
      </x:c>
      <x:c r="M596" s="12" t="n">
        <x:f>IF(H596="Completed",I596*J596*(1-L596),0)</x:f>
        <x:v>42.6445</x:v>
      </x:c>
      <x:c r="N596" s="12" t="n">
        <x:f>IF(H596="Completed",I596*K596,0)</x:f>
        <x:v>25.52</x:v>
      </x:c>
      <x:c r="O596" s="12" t="n">
        <x:f>M596-N596</x:f>
        <x:v>17.1245</x:v>
      </x:c>
      <x:c r="P596" s="16" t="n">
        <x:f>IFERROR(O596/M596,0)</x:f>
        <x:v>0.40156409384563074</x:v>
      </x:c>
      <x:c r="Q596" t="n">
        <x:f>YEAR(B596)</x:f>
        <x:v>2025</x:v>
      </x:c>
      <x:c r="R596" t="str">
        <x:f>TEXT(B596,"yyyy-mm")</x:f>
        <x:v>2025-08</x:v>
      </x:c>
    </x:row>
    <x:row r="597">
      <x:c r="A597" t="n">
        <x:v>10287</x:v>
      </x:c>
      <x:c r="B597" s="10" t="n">
        <x:v>45898</x:v>
      </x:c>
      <x:c r="C597" t="str">
        <x:v>P003</x:v>
      </x:c>
      <x:c r="D597" t="str">
        <x:v>Keyboard</x:v>
      </x:c>
      <x:c r="E597" t="str">
        <x:v>Accessories</x:v>
      </x:c>
      <x:c r="F597" t="str">
        <x:v>Wales</x:v>
      </x:c>
      <x:c r="G597" t="str">
        <x:v>Online</x:v>
      </x:c>
      <x:c r="H597" t="str">
        <x:v>Completed</x:v>
      </x:c>
      <x:c r="I597" t="n">
        <x:v>1</x:v>
      </x:c>
      <x:c r="J597" s="12" t="n">
        <x:v>50.27</x:v>
      </x:c>
      <x:c r="K597" s="12" t="n">
        <x:v>26.56</x:v>
      </x:c>
      <x:c r="L597" s="14" t="n">
        <x:v>0.05</x:v>
      </x:c>
      <x:c r="M597" s="12" t="n">
        <x:f>IF(H597="Completed",I597*J597*(1-L597),0)</x:f>
        <x:v>47.7565</x:v>
      </x:c>
      <x:c r="N597" s="12" t="n">
        <x:f>IF(H597="Completed",I597*K597,0)</x:f>
        <x:v>26.56</x:v>
      </x:c>
      <x:c r="O597" s="12" t="n">
        <x:f>M597-N597</x:f>
        <x:v>21.196500000000004</x:v>
      </x:c>
      <x:c r="P597" s="16" t="n">
        <x:f>IFERROR(O597/M597,0)</x:f>
        <x:v>0.4438453404248637</x:v>
      </x:c>
      <x:c r="Q597" t="n">
        <x:f>YEAR(B597)</x:f>
        <x:v>2025</x:v>
      </x:c>
      <x:c r="R597" t="str">
        <x:f>TEXT(B597,"yyyy-mm")</x:f>
        <x:v>2025-08</x:v>
      </x:c>
    </x:row>
    <x:row r="598">
      <x:c r="A598" t="n">
        <x:v>10710</x:v>
      </x:c>
      <x:c r="B598" s="10" t="n">
        <x:v>45898</x:v>
      </x:c>
      <x:c r="C598" t="str">
        <x:v>P006</x:v>
      </x:c>
      <x:c r="D598" t="str">
        <x:v>Chair</x:v>
      </x:c>
      <x:c r="E598" t="str">
        <x:v>Furniture</x:v>
      </x:c>
      <x:c r="F598" t="str">
        <x:v>North</x:v>
      </x:c>
      <x:c r="G598" t="str">
        <x:v>Retail</x:v>
      </x:c>
      <x:c r="H598" t="str">
        <x:v>Completed</x:v>
      </x:c>
      <x:c r="I598" t="n">
        <x:v>4</x:v>
      </x:c>
      <x:c r="J598" s="12" t="n">
        <x:v>138.31</x:v>
      </x:c>
      <x:c r="K598" s="12" t="n">
        <x:v>67.75</x:v>
      </x:c>
      <x:c r="L598" s="14" t="n">
        <x:v>0</x:v>
      </x:c>
      <x:c r="M598" s="12" t="n">
        <x:f>IF(H598="Completed",I598*J598*(1-L598),0)</x:f>
        <x:v>553.24</x:v>
      </x:c>
      <x:c r="N598" s="12" t="n">
        <x:f>IF(H598="Completed",I598*K598,0)</x:f>
        <x:v>271</x:v>
      </x:c>
      <x:c r="O598" s="12" t="n">
        <x:f>M598-N598</x:f>
        <x:v>282.24</x:v>
      </x:c>
      <x:c r="P598" s="16" t="n">
        <x:f>IFERROR(O598/M598,0)</x:f>
        <x:v>0.5101583399609573</x:v>
      </x:c>
      <x:c r="Q598" t="n">
        <x:f>YEAR(B598)</x:f>
        <x:v>2025</x:v>
      </x:c>
      <x:c r="R598" t="str">
        <x:f>TEXT(B598,"yyyy-mm")</x:f>
        <x:v>2025-08</x:v>
      </x:c>
    </x:row>
    <x:row r="599">
      <x:c r="A599" t="n">
        <x:v>10813</x:v>
      </x:c>
      <x:c r="B599" s="10" t="n">
        <x:v>45899</x:v>
      </x:c>
      <x:c r="C599" t="str">
        <x:v>P006</x:v>
      </x:c>
      <x:c r="D599" t="str">
        <x:v>Chair</x:v>
      </x:c>
      <x:c r="E599" t="str">
        <x:v>Furniture</x:v>
      </x:c>
      <x:c r="F599" t="str">
        <x:v>North</x:v>
      </x:c>
      <x:c r="G599" t="str">
        <x:v>Online</x:v>
      </x:c>
      <x:c r="H599" t="str">
        <x:v>Completed</x:v>
      </x:c>
      <x:c r="I599" t="n">
        <x:v>3</x:v>
      </x:c>
      <x:c r="J599" s="12" t="n">
        <x:v>139.23</x:v>
      </x:c>
      <x:c r="K599" s="12" t="n">
        <x:v>69.85</x:v>
      </x:c>
      <x:c r="L599" s="14" t="n">
        <x:v>0.05</x:v>
      </x:c>
      <x:c r="M599" s="12" t="n">
        <x:f>IF(H599="Completed",I599*J599*(1-L599),0)</x:f>
        <x:v>396.80549999999994</x:v>
      </x:c>
      <x:c r="N599" s="12" t="n">
        <x:f>IF(H599="Completed",I599*K599,0)</x:f>
        <x:v>209.54999999999998</x:v>
      </x:c>
      <x:c r="O599" s="12" t="n">
        <x:f>M599-N599</x:f>
        <x:v>187.25549999999996</x:v>
      </x:c>
      <x:c r="P599" s="16" t="n">
        <x:f>IFERROR(O599/M599,0)</x:f>
        <x:v>0.47190752144312514</x:v>
      </x:c>
      <x:c r="Q599" t="n">
        <x:f>YEAR(B599)</x:f>
        <x:v>2025</x:v>
      </x:c>
      <x:c r="R599" t="str">
        <x:f>TEXT(B599,"yyyy-mm")</x:f>
        <x:v>2025-08</x:v>
      </x:c>
    </x:row>
    <x:row r="600">
      <x:c r="A600" t="n">
        <x:v>10499</x:v>
      </x:c>
      <x:c r="B600" s="10" t="n">
        <x:v>45902</x:v>
      </x:c>
      <x:c r="C600" t="str">
        <x:v>P002</x:v>
      </x:c>
      <x:c r="D600" t="str">
        <x:v>Monitor</x:v>
      </x:c>
      <x:c r="E600" t="str">
        <x:v>Electronics</x:v>
      </x:c>
      <x:c r="F600" t="str">
        <x:v>Midlands</x:v>
      </x:c>
      <x:c r="G600" t="str">
        <x:v>Online</x:v>
      </x:c>
      <x:c r="H600" t="str">
        <x:v>Completed</x:v>
      </x:c>
      <x:c r="I600" t="n">
        <x:v>2</x:v>
      </x:c>
      <x:c r="J600" s="12" t="n">
        <x:v>286.88</x:v>
      </x:c>
      <x:c r="K600" s="12" t="n">
        <x:v>174.33</x:v>
      </x:c>
      <x:c r="L600" s="14" t="n">
        <x:v>0</x:v>
      </x:c>
      <x:c r="M600" s="12" t="n">
        <x:f>IF(H600="Completed",I600*J600*(1-L600),0)</x:f>
        <x:v>573.76</x:v>
      </x:c>
      <x:c r="N600" s="12" t="n">
        <x:f>IF(H600="Completed",I600*K600,0)</x:f>
        <x:v>348.66</x:v>
      </x:c>
      <x:c r="O600" s="12" t="n">
        <x:f>M600-N600</x:f>
        <x:v>225.09999999999997</x:v>
      </x:c>
      <x:c r="P600" s="16" t="n">
        <x:f>IFERROR(O600/M600,0)</x:f>
        <x:v>0.3923243167875069</x:v>
      </x:c>
      <x:c r="Q600" t="n">
        <x:f>YEAR(B600)</x:f>
        <x:v>2025</x:v>
      </x:c>
      <x:c r="R600" t="str">
        <x:f>TEXT(B600,"yyyy-mm")</x:f>
        <x:v>2025-09</x:v>
      </x:c>
    </x:row>
    <x:row r="601">
      <x:c r="A601" t="n">
        <x:v>10578</x:v>
      </x:c>
      <x:c r="B601" s="10" t="n">
        <x:v>45902</x:v>
      </x:c>
      <x:c r="C601" t="str">
        <x:v>P001</x:v>
      </x:c>
      <x:c r="D601" t="str">
        <x:v>Laptop</x:v>
      </x:c>
      <x:c r="E601" t="str">
        <x:v>Electronics</x:v>
      </x:c>
      <x:c r="F601" t="str">
        <x:v>Wales</x:v>
      </x:c>
      <x:c r="G601" t="str">
        <x:v>Online</x:v>
      </x:c>
      <x:c r="H601" t="str">
        <x:v>Completed</x:v>
      </x:c>
      <x:c r="I601" t="n">
        <x:v>2</x:v>
      </x:c>
      <x:c r="J601" s="12" t="n">
        <x:v>906.23</x:v>
      </x:c>
      <x:c r="K601" s="12" t="n">
        <x:v>617.36</x:v>
      </x:c>
      <x:c r="L601" s="14" t="n">
        <x:v>0</x:v>
      </x:c>
      <x:c r="M601" s="12" t="n">
        <x:f>IF(H601="Completed",I601*J601*(1-L601),0)</x:f>
        <x:v>1812.46</x:v>
      </x:c>
      <x:c r="N601" s="12" t="n">
        <x:f>IF(H601="Completed",I601*K601,0)</x:f>
        <x:v>1234.72</x:v>
      </x:c>
      <x:c r="O601" s="12" t="n">
        <x:f>M601-N601</x:f>
        <x:v>577.74</x:v>
      </x:c>
      <x:c r="P601" s="16" t="n">
        <x:f>IFERROR(O601/M601,0)</x:f>
        <x:v>0.31876013815477305</x:v>
      </x:c>
      <x:c r="Q601" t="n">
        <x:f>YEAR(B601)</x:f>
        <x:v>2025</x:v>
      </x:c>
      <x:c r="R601" t="str">
        <x:f>TEXT(B601,"yyyy-mm")</x:f>
        <x:v>2025-09</x:v>
      </x:c>
    </x:row>
    <x:row r="602">
      <x:c r="A602" t="n">
        <x:v>10853</x:v>
      </x:c>
      <x:c r="B602" s="10" t="n">
        <x:v>45902</x:v>
      </x:c>
      <x:c r="C602" t="str">
        <x:v>P005</x:v>
      </x:c>
      <x:c r="D602" t="str">
        <x:v>Desk</x:v>
      </x:c>
      <x:c r="E602" t="str">
        <x:v>Furniture</x:v>
      </x:c>
      <x:c r="F602" t="str">
        <x:v>South</x:v>
      </x:c>
      <x:c r="G602" t="str">
        <x:v>Online</x:v>
      </x:c>
      <x:c r="H602" t="str">
        <x:v>Cancelled</x:v>
      </x:c>
      <x:c r="I602" t="n">
        <x:v>1</x:v>
      </x:c>
      <x:c r="J602" s="12" t="n">
        <x:v>278.52</x:v>
      </x:c>
      <x:c r="K602" s="12" t="n">
        <x:v>157.16</x:v>
      </x:c>
      <x:c r="L602" s="14" t="n">
        <x:v>0.15</x:v>
      </x:c>
      <x:c r="M602" s="12" t="n">
        <x:f>IF(H602="Completed",I602*J602*(1-L602),0)</x:f>
        <x:v>0</x:v>
      </x:c>
      <x:c r="N602" s="12" t="n">
        <x:f>IF(H602="Completed",I602*K602,0)</x:f>
        <x:v>0</x:v>
      </x:c>
      <x:c r="O602" s="12" t="n">
        <x:f>M602-N602</x:f>
        <x:v>0</x:v>
      </x:c>
      <x:c r="P602" s="16" t="n">
        <x:f>IFERROR(O602/M602,0)</x:f>
        <x:v>0</x:v>
      </x:c>
      <x:c r="Q602" t="n">
        <x:f>YEAR(B602)</x:f>
        <x:v>2025</x:v>
      </x:c>
      <x:c r="R602" t="str">
        <x:f>TEXT(B602,"yyyy-mm")</x:f>
        <x:v>2025-09</x:v>
      </x:c>
    </x:row>
    <x:row r="603">
      <x:c r="A603" t="n">
        <x:v>10669</x:v>
      </x:c>
      <x:c r="B603" s="10" t="n">
        <x:v>45903</x:v>
      </x:c>
      <x:c r="C603" t="str">
        <x:v>P005</x:v>
      </x:c>
      <x:c r="D603" t="str">
        <x:v>Desk</x:v>
      </x:c>
      <x:c r="E603" t="str">
        <x:v>Furniture</x:v>
      </x:c>
      <x:c r="F603" t="str">
        <x:v>North</x:v>
      </x:c>
      <x:c r="G603" t="str">
        <x:v>Online</x:v>
      </x:c>
      <x:c r="H603" t="str">
        <x:v>Completed</x:v>
      </x:c>
      <x:c r="I603" t="n">
        <x:v>3</x:v>
      </x:c>
      <x:c r="J603" s="12" t="n">
        <x:v>267.74</x:v>
      </x:c>
      <x:c r="K603" s="12" t="n">
        <x:v>159.58</x:v>
      </x:c>
      <x:c r="L603" s="14" t="n">
        <x:v>0.1</x:v>
      </x:c>
      <x:c r="M603" s="12" t="n">
        <x:f>IF(H603="Completed",I603*J603*(1-L603),0)</x:f>
        <x:v>722.898</x:v>
      </x:c>
      <x:c r="N603" s="12" t="n">
        <x:f>IF(H603="Completed",I603*K603,0)</x:f>
        <x:v>478.74</x:v>
      </x:c>
      <x:c r="O603" s="12" t="n">
        <x:f>M603-N603</x:f>
        <x:v>244.15800000000002</x:v>
      </x:c>
      <x:c r="P603" s="16" t="n">
        <x:f>IFERROR(O603/M603,0)</x:f>
        <x:v>0.3377488940348431</x:v>
      </x:c>
      <x:c r="Q603" t="n">
        <x:f>YEAR(B603)</x:f>
        <x:v>2025</x:v>
      </x:c>
      <x:c r="R603" t="str">
        <x:f>TEXT(B603,"yyyy-mm")</x:f>
        <x:v>2025-09</x:v>
      </x:c>
    </x:row>
    <x:row r="604">
      <x:c r="A604" t="n">
        <x:v>10682</x:v>
      </x:c>
      <x:c r="B604" s="10" t="n">
        <x:v>45905</x:v>
      </x:c>
      <x:c r="C604" t="str">
        <x:v>P002</x:v>
      </x:c>
      <x:c r="D604" t="str">
        <x:v>Monitor</x:v>
      </x:c>
      <x:c r="E604" t="str">
        <x:v>Electronics</x:v>
      </x:c>
      <x:c r="F604" t="str">
        <x:v>North</x:v>
      </x:c>
      <x:c r="G604" t="str">
        <x:v>Retail</x:v>
      </x:c>
      <x:c r="H604" t="str">
        <x:v>Completed</x:v>
      </x:c>
      <x:c r="I604" t="n">
        <x:v>1</x:v>
      </x:c>
      <x:c r="J604" s="12" t="n">
        <x:v>291.69</x:v>
      </x:c>
      <x:c r="K604" s="12" t="n">
        <x:v>172.11</x:v>
      </x:c>
      <x:c r="L604" s="14" t="n">
        <x:v>0.15</x:v>
      </x:c>
      <x:c r="M604" s="12" t="n">
        <x:f>IF(H604="Completed",I604*J604*(1-L604),0)</x:f>
        <x:v>247.9365</x:v>
      </x:c>
      <x:c r="N604" s="12" t="n">
        <x:f>IF(H604="Completed",I604*K604,0)</x:f>
        <x:v>172.11</x:v>
      </x:c>
      <x:c r="O604" s="12" t="n">
        <x:f>M604-N604</x:f>
        <x:v>75.82649999999998</x:v>
      </x:c>
      <x:c r="P604" s="16" t="n">
        <x:f>IFERROR(O604/M604,0)</x:f>
        <x:v>0.3058303234900871</x:v>
      </x:c>
      <x:c r="Q604" t="n">
        <x:f>YEAR(B604)</x:f>
        <x:v>2025</x:v>
      </x:c>
      <x:c r="R604" t="str">
        <x:f>TEXT(B604,"yyyy-mm")</x:f>
        <x:v>2025-09</x:v>
      </x:c>
    </x:row>
    <x:row r="605">
      <x:c r="A605" t="n">
        <x:v>10498</x:v>
      </x:c>
      <x:c r="B605" s="10" t="n">
        <x:v>45907</x:v>
      </x:c>
      <x:c r="C605" t="str">
        <x:v>P003</x:v>
      </x:c>
      <x:c r="D605" t="str">
        <x:v>Keyboard</x:v>
      </x:c>
      <x:c r="E605" t="str">
        <x:v>Accessories</x:v>
      </x:c>
      <x:c r="F605" t="str">
        <x:v>South</x:v>
      </x:c>
      <x:c r="G605" t="str">
        <x:v>Online</x:v>
      </x:c>
      <x:c r="H605" t="str">
        <x:v>Completed</x:v>
      </x:c>
      <x:c r="I605" t="n">
        <x:v>2</x:v>
      </x:c>
      <x:c r="J605" s="12" t="n">
        <x:v>49.88</x:v>
      </x:c>
      <x:c r="K605" s="12" t="n">
        <x:v>26.68</x:v>
      </x:c>
      <x:c r="L605" s="14" t="n">
        <x:v>0.15</x:v>
      </x:c>
      <x:c r="M605" s="12" t="n">
        <x:f>IF(H605="Completed",I605*J605*(1-L605),0)</x:f>
        <x:v>84.796</x:v>
      </x:c>
      <x:c r="N605" s="12" t="n">
        <x:f>IF(H605="Completed",I605*K605,0)</x:f>
        <x:v>53.36</x:v>
      </x:c>
      <x:c r="O605" s="12" t="n">
        <x:f>M605-N605</x:f>
        <x:v>31.436000000000007</x:v>
      </x:c>
      <x:c r="P605" s="16" t="n">
        <x:f>IFERROR(O605/M605,0)</x:f>
        <x:v>0.37072503419972647</x:v>
      </x:c>
      <x:c r="Q605" t="n">
        <x:f>YEAR(B605)</x:f>
        <x:v>2025</x:v>
      </x:c>
      <x:c r="R605" t="str">
        <x:f>TEXT(B605,"yyyy-mm")</x:f>
        <x:v>2025-09</x:v>
      </x:c>
    </x:row>
    <x:row r="606">
      <x:c r="A606" t="n">
        <x:v>10857</x:v>
      </x:c>
      <x:c r="B606" s="10" t="n">
        <x:v>45908</x:v>
      </x:c>
      <x:c r="C606" t="str">
        <x:v>P008</x:v>
      </x:c>
      <x:c r="D606" t="str">
        <x:v>Webcam</x:v>
      </x:c>
      <x:c r="E606" t="str">
        <x:v>Electronics</x:v>
      </x:c>
      <x:c r="F606" t="str">
        <x:v>Wales</x:v>
      </x:c>
      <x:c r="G606" t="str">
        <x:v>Retail</x:v>
      </x:c>
      <x:c r="H606" t="str">
        <x:v>Completed</x:v>
      </x:c>
      <x:c r="I606" t="n">
        <x:v>2</x:v>
      </x:c>
      <x:c r="J606" s="12" t="n">
        <x:v>91.52</x:v>
      </x:c>
      <x:c r="K606" s="12" t="n">
        <x:v>42.57</x:v>
      </x:c>
      <x:c r="L606" s="14" t="n">
        <x:v>0.05</x:v>
      </x:c>
      <x:c r="M606" s="12" t="n">
        <x:f>IF(H606="Completed",I606*J606*(1-L606),0)</x:f>
        <x:v>173.88799999999998</x:v>
      </x:c>
      <x:c r="N606" s="12" t="n">
        <x:f>IF(H606="Completed",I606*K606,0)</x:f>
        <x:v>85.14</x:v>
      </x:c>
      <x:c r="O606" s="12" t="n">
        <x:f>M606-N606</x:f>
        <x:v>88.74799999999998</x:v>
      </x:c>
      <x:c r="P606" s="16" t="n">
        <x:f>IFERROR(O606/M606,0)</x:f>
        <x:v>0.5103744939271254</x:v>
      </x:c>
      <x:c r="Q606" t="n">
        <x:f>YEAR(B606)</x:f>
        <x:v>2025</x:v>
      </x:c>
      <x:c r="R606" t="str">
        <x:f>TEXT(B606,"yyyy-mm")</x:f>
        <x:v>2025-09</x:v>
      </x:c>
    </x:row>
    <x:row r="607">
      <x:c r="A607" t="n">
        <x:v>10884</x:v>
      </x:c>
      <x:c r="B607" s="10" t="n">
        <x:v>45908</x:v>
      </x:c>
      <x:c r="C607" t="str">
        <x:v>P007</x:v>
      </x:c>
      <x:c r="D607" t="str">
        <x:v>Headset</x:v>
      </x:c>
      <x:c r="E607" t="str">
        <x:v>Accessories</x:v>
      </x:c>
      <x:c r="F607" t="str">
        <x:v>North</x:v>
      </x:c>
      <x:c r="G607" t="str">
        <x:v>Retail</x:v>
      </x:c>
      <x:c r="H607" t="str">
        <x:v>Completed</x:v>
      </x:c>
      <x:c r="I607" t="n">
        <x:v>1</x:v>
      </x:c>
      <x:c r="J607" s="12" t="n">
        <x:v>70.61</x:v>
      </x:c>
      <x:c r="K607" s="12" t="n">
        <x:v>34.95</x:v>
      </x:c>
      <x:c r="L607" s="14" t="n">
        <x:v>0.1</x:v>
      </x:c>
      <x:c r="M607" s="12" t="n">
        <x:f>IF(H607="Completed",I607*J607*(1-L607),0)</x:f>
        <x:v>63.549</x:v>
      </x:c>
      <x:c r="N607" s="12" t="n">
        <x:f>IF(H607="Completed",I607*K607,0)</x:f>
        <x:v>34.95</x:v>
      </x:c>
      <x:c r="O607" s="12" t="n">
        <x:f>M607-N607</x:f>
        <x:v>28.598999999999997</x:v>
      </x:c>
      <x:c r="P607" s="16" t="n">
        <x:f>IFERROR(O607/M607,0)</x:f>
        <x:v>0.4500306849832412</x:v>
      </x:c>
      <x:c r="Q607" t="n">
        <x:f>YEAR(B607)</x:f>
        <x:v>2025</x:v>
      </x:c>
      <x:c r="R607" t="str">
        <x:f>TEXT(B607,"yyyy-mm")</x:f>
        <x:v>2025-09</x:v>
      </x:c>
    </x:row>
    <x:row r="608">
      <x:c r="A608" t="n">
        <x:v>10162</x:v>
      </x:c>
      <x:c r="B608" s="10" t="n">
        <x:v>45909</x:v>
      </x:c>
      <x:c r="C608" t="str">
        <x:v>P003</x:v>
      </x:c>
      <x:c r="D608" t="str">
        <x:v>Keyboard</x:v>
      </x:c>
      <x:c r="E608" t="str">
        <x:v>Accessories</x:v>
      </x:c>
      <x:c r="F608" t="str">
        <x:v>North</x:v>
      </x:c>
      <x:c r="G608" t="str">
        <x:v>Retail</x:v>
      </x:c>
      <x:c r="H608" t="str">
        <x:v>Completed</x:v>
      </x:c>
      <x:c r="I608" t="n">
        <x:v>3</x:v>
      </x:c>
      <x:c r="J608" s="12" t="n">
        <x:v>50.85</x:v>
      </x:c>
      <x:c r="K608" s="12" t="n">
        <x:v>26.39</x:v>
      </x:c>
      <x:c r="L608" s="14" t="n">
        <x:v>0</x:v>
      </x:c>
      <x:c r="M608" s="12" t="n">
        <x:f>IF(H608="Completed",I608*J608*(1-L608),0)</x:f>
        <x:v>152.55</x:v>
      </x:c>
      <x:c r="N608" s="12" t="n">
        <x:f>IF(H608="Completed",I608*K608,0)</x:f>
        <x:v>79.17</x:v>
      </x:c>
      <x:c r="O608" s="12" t="n">
        <x:f>M608-N608</x:f>
        <x:v>73.38000000000001</x:v>
      </x:c>
      <x:c r="P608" s="16" t="n">
        <x:f>IFERROR(O608/M608,0)</x:f>
        <x:v>0.4810226155358899</x:v>
      </x:c>
      <x:c r="Q608" t="n">
        <x:f>YEAR(B608)</x:f>
        <x:v>2025</x:v>
      </x:c>
      <x:c r="R608" t="str">
        <x:f>TEXT(B608,"yyyy-mm")</x:f>
        <x:v>2025-09</x:v>
      </x:c>
    </x:row>
    <x:row r="609">
      <x:c r="A609" t="n">
        <x:v>10187</x:v>
      </x:c>
      <x:c r="B609" s="10" t="n">
        <x:v>45909</x:v>
      </x:c>
      <x:c r="C609" t="str">
        <x:v>P007</x:v>
      </x:c>
      <x:c r="D609" t="str">
        <x:v>Headset</x:v>
      </x:c>
      <x:c r="E609" t="str">
        <x:v>Accessories</x:v>
      </x:c>
      <x:c r="F609" t="str">
        <x:v>South</x:v>
      </x:c>
      <x:c r="G609" t="str">
        <x:v>Online</x:v>
      </x:c>
      <x:c r="H609" t="str">
        <x:v>Completed</x:v>
      </x:c>
      <x:c r="I609" t="n">
        <x:v>2</x:v>
      </x:c>
      <x:c r="J609" s="12" t="n">
        <x:v>74.22</x:v>
      </x:c>
      <x:c r="K609" s="12" t="n">
        <x:v>34.92</x:v>
      </x:c>
      <x:c r="L609" s="14" t="n">
        <x:v>0.15</x:v>
      </x:c>
      <x:c r="M609" s="12" t="n">
        <x:f>IF(H609="Completed",I609*J609*(1-L609),0)</x:f>
        <x:v>126.17399999999999</x:v>
      </x:c>
      <x:c r="N609" s="12" t="n">
        <x:f>IF(H609="Completed",I609*K609,0)</x:f>
        <x:v>69.84</x:v>
      </x:c>
      <x:c r="O609" s="12" t="n">
        <x:f>M609-N609</x:f>
        <x:v>56.33399999999999</x:v>
      </x:c>
      <x:c r="P609" s="16" t="n">
        <x:f>IFERROR(O609/M609,0)</x:f>
        <x:v>0.44647867230966753</x:v>
      </x:c>
      <x:c r="Q609" t="n">
        <x:f>YEAR(B609)</x:f>
        <x:v>2025</x:v>
      </x:c>
      <x:c r="R609" t="str">
        <x:f>TEXT(B609,"yyyy-mm")</x:f>
        <x:v>2025-09</x:v>
      </x:c>
    </x:row>
    <x:row r="610">
      <x:c r="A610" t="n">
        <x:v>10190</x:v>
      </x:c>
      <x:c r="B610" s="10" t="n">
        <x:v>45911</x:v>
      </x:c>
      <x:c r="C610" t="str">
        <x:v>P003</x:v>
      </x:c>
      <x:c r="D610" t="str">
        <x:v>Keyboard</x:v>
      </x:c>
      <x:c r="E610" t="str">
        <x:v>Accessories</x:v>
      </x:c>
      <x:c r="F610" t="str">
        <x:v>Wales</x:v>
      </x:c>
      <x:c r="G610" t="str">
        <x:v>Online</x:v>
      </x:c>
      <x:c r="H610" t="str">
        <x:v>Completed</x:v>
      </x:c>
      <x:c r="I610" t="n">
        <x:v>4</x:v>
      </x:c>
      <x:c r="J610" s="12" t="n">
        <x:v>48</x:v>
      </x:c>
      <x:c r="K610" s="12" t="n">
        <x:v>25.96</x:v>
      </x:c>
      <x:c r="L610" s="14" t="n">
        <x:v>0.1</x:v>
      </x:c>
      <x:c r="M610" s="12" t="n">
        <x:f>IF(H610="Completed",I610*J610*(1-L610),0)</x:f>
        <x:v>172.8</x:v>
      </x:c>
      <x:c r="N610" s="12" t="n">
        <x:f>IF(H610="Completed",I610*K610,0)</x:f>
        <x:v>103.84</x:v>
      </x:c>
      <x:c r="O610" s="12" t="n">
        <x:f>M610-N610</x:f>
        <x:v>68.96000000000001</x:v>
      </x:c>
      <x:c r="P610" s="16" t="n">
        <x:f>IFERROR(O610/M610,0)</x:f>
        <x:v>0.3990740740740741</x:v>
      </x:c>
      <x:c r="Q610" t="n">
        <x:f>YEAR(B610)</x:f>
        <x:v>2025</x:v>
      </x:c>
      <x:c r="R610" t="str">
        <x:f>TEXT(B610,"yyyy-mm")</x:f>
        <x:v>2025-09</x:v>
      </x:c>
    </x:row>
    <x:row r="611">
      <x:c r="A611" t="n">
        <x:v>10538</x:v>
      </x:c>
      <x:c r="B611" s="10" t="n">
        <x:v>45911</x:v>
      </x:c>
      <x:c r="C611" t="str">
        <x:v>P007</x:v>
      </x:c>
      <x:c r="D611" t="str">
        <x:v>Headset</x:v>
      </x:c>
      <x:c r="E611" t="str">
        <x:v>Accessories</x:v>
      </x:c>
      <x:c r="F611" t="str">
        <x:v>Wales</x:v>
      </x:c>
      <x:c r="G611" t="str">
        <x:v>Retail</x:v>
      </x:c>
      <x:c r="H611" t="str">
        <x:v>Completed</x:v>
      </x:c>
      <x:c r="I611" t="n">
        <x:v>3</x:v>
      </x:c>
      <x:c r="J611" s="12" t="n">
        <x:v>72.8</x:v>
      </x:c>
      <x:c r="K611" s="12" t="n">
        <x:v>35.99</x:v>
      </x:c>
      <x:c r="L611" s="14" t="n">
        <x:v>0.15</x:v>
      </x:c>
      <x:c r="M611" s="12" t="n">
        <x:f>IF(H611="Completed",I611*J611*(1-L611),0)</x:f>
        <x:v>185.64</x:v>
      </x:c>
      <x:c r="N611" s="12" t="n">
        <x:f>IF(H611="Completed",I611*K611,0)</x:f>
        <x:v>107.97</x:v>
      </x:c>
      <x:c r="O611" s="12" t="n">
        <x:f>M611-N611</x:f>
        <x:v>77.66999999999999</x:v>
      </x:c>
      <x:c r="P611" s="16" t="n">
        <x:f>IFERROR(O611/M611,0)</x:f>
        <x:v>0.4183904330963154</x:v>
      </x:c>
      <x:c r="Q611" t="n">
        <x:f>YEAR(B611)</x:f>
        <x:v>2025</x:v>
      </x:c>
      <x:c r="R611" t="str">
        <x:f>TEXT(B611,"yyyy-mm")</x:f>
        <x:v>2025-09</x:v>
      </x:c>
    </x:row>
    <x:row r="612">
      <x:c r="A612" t="n">
        <x:v>10664</x:v>
      </x:c>
      <x:c r="B612" s="10" t="n">
        <x:v>45911</x:v>
      </x:c>
      <x:c r="C612" t="str">
        <x:v>P001</x:v>
      </x:c>
      <x:c r="D612" t="str">
        <x:v>Laptop</x:v>
      </x:c>
      <x:c r="E612" t="str">
        <x:v>Electronics</x:v>
      </x:c>
      <x:c r="F612" t="str">
        <x:v>Scotland</x:v>
      </x:c>
      <x:c r="G612" t="str">
        <x:v>Online</x:v>
      </x:c>
      <x:c r="H612" t="str">
        <x:v>Cancelled</x:v>
      </x:c>
      <x:c r="I612" t="n">
        <x:v>4</x:v>
      </x:c>
      <x:c r="J612" s="12" t="n">
        <x:v>918.86</x:v>
      </x:c>
      <x:c r="K612" s="12" t="n">
        <x:v>624.53</x:v>
      </x:c>
      <x:c r="L612" s="14" t="n">
        <x:v>0</x:v>
      </x:c>
      <x:c r="M612" s="12" t="n">
        <x:f>IF(H612="Completed",I612*J612*(1-L612),0)</x:f>
        <x:v>0</x:v>
      </x:c>
      <x:c r="N612" s="12" t="n">
        <x:f>IF(H612="Completed",I612*K612,0)</x:f>
        <x:v>0</x:v>
      </x:c>
      <x:c r="O612" s="12" t="n">
        <x:f>M612-N612</x:f>
        <x:v>0</x:v>
      </x:c>
      <x:c r="P612" s="16" t="n">
        <x:f>IFERROR(O612/M612,0)</x:f>
        <x:v>0</x:v>
      </x:c>
      <x:c r="Q612" t="n">
        <x:f>YEAR(B612)</x:f>
        <x:v>2025</x:v>
      </x:c>
      <x:c r="R612" t="str">
        <x:f>TEXT(B612,"yyyy-mm")</x:f>
        <x:v>2025-09</x:v>
      </x:c>
    </x:row>
    <x:row r="613">
      <x:c r="A613" t="n">
        <x:v>10822</x:v>
      </x:c>
      <x:c r="B613" s="10" t="n">
        <x:v>45912</x:v>
      </x:c>
      <x:c r="C613" t="str">
        <x:v>P001</x:v>
      </x:c>
      <x:c r="D613" t="str">
        <x:v>Laptop</x:v>
      </x:c>
      <x:c r="E613" t="str">
        <x:v>Electronics</x:v>
      </x:c>
      <x:c r="F613" t="str">
        <x:v>Midlands</x:v>
      </x:c>
      <x:c r="G613" t="str">
        <x:v>Retail</x:v>
      </x:c>
      <x:c r="H613" t="str">
        <x:v>Completed</x:v>
      </x:c>
      <x:c r="I613" t="n">
        <x:v>1</x:v>
      </x:c>
      <x:c r="J613" s="12" t="n">
        <x:v>935.63</x:v>
      </x:c>
      <x:c r="K613" s="12" t="n">
        <x:v>611.7</x:v>
      </x:c>
      <x:c r="L613" s="14" t="n">
        <x:v>0.05</x:v>
      </x:c>
      <x:c r="M613" s="12" t="n">
        <x:f>IF(H613="Completed",I613*J613*(1-L613),0)</x:f>
        <x:v>888.8485</x:v>
      </x:c>
      <x:c r="N613" s="12" t="n">
        <x:f>IF(H613="Completed",I613*K613,0)</x:f>
        <x:v>611.7</x:v>
      </x:c>
      <x:c r="O613" s="12" t="n">
        <x:f>M613-N613</x:f>
        <x:v>277.1484999999999</x:v>
      </x:c>
      <x:c r="P613" s="16" t="n">
        <x:f>IFERROR(O613/M613,0)</x:f>
        <x:v>0.3118062301955844</x:v>
      </x:c>
      <x:c r="Q613" t="n">
        <x:f>YEAR(B613)</x:f>
        <x:v>2025</x:v>
      </x:c>
      <x:c r="R613" t="str">
        <x:f>TEXT(B613,"yyyy-mm")</x:f>
        <x:v>2025-09</x:v>
      </x:c>
    </x:row>
    <x:row r="614">
      <x:c r="A614" t="n">
        <x:v>10888</x:v>
      </x:c>
      <x:c r="B614" s="10" t="n">
        <x:v>45912</x:v>
      </x:c>
      <x:c r="C614" t="str">
        <x:v>P003</x:v>
      </x:c>
      <x:c r="D614" t="str">
        <x:v>Keyboard</x:v>
      </x:c>
      <x:c r="E614" t="str">
        <x:v>Accessories</x:v>
      </x:c>
      <x:c r="F614" t="str">
        <x:v>South</x:v>
      </x:c>
      <x:c r="G614" t="str">
        <x:v>Online</x:v>
      </x:c>
      <x:c r="H614" t="str">
        <x:v>Completed</x:v>
      </x:c>
      <x:c r="I614" t="n">
        <x:v>2</x:v>
      </x:c>
      <x:c r="J614" s="12" t="n">
        <x:v>49.07</x:v>
      </x:c>
      <x:c r="K614" s="12" t="n">
        <x:v>26.61</x:v>
      </x:c>
      <x:c r="L614" s="14" t="n">
        <x:v>0.15</x:v>
      </x:c>
      <x:c r="M614" s="12" t="n">
        <x:f>IF(H614="Completed",I614*J614*(1-L614),0)</x:f>
        <x:v>83.419</x:v>
      </x:c>
      <x:c r="N614" s="12" t="n">
        <x:f>IF(H614="Completed",I614*K614,0)</x:f>
        <x:v>53.22</x:v>
      </x:c>
      <x:c r="O614" s="12" t="n">
        <x:f>M614-N614</x:f>
        <x:v>30.198999999999998</x:v>
      </x:c>
      <x:c r="P614" s="16" t="n">
        <x:f>IFERROR(O614/M614,0)</x:f>
        <x:v>0.3620158477085556</x:v>
      </x:c>
      <x:c r="Q614" t="n">
        <x:f>YEAR(B614)</x:f>
        <x:v>2025</x:v>
      </x:c>
      <x:c r="R614" t="str">
        <x:f>TEXT(B614,"yyyy-mm")</x:f>
        <x:v>2025-09</x:v>
      </x:c>
    </x:row>
    <x:row r="615">
      <x:c r="A615" t="n">
        <x:v>10912</x:v>
      </x:c>
      <x:c r="B615" s="10" t="n">
        <x:v>45912</x:v>
      </x:c>
      <x:c r="C615" t="str">
        <x:v>P004</x:v>
      </x:c>
      <x:c r="D615" t="str">
        <x:v>Mouse</x:v>
      </x:c>
      <x:c r="E615" t="str">
        <x:v>Accessories</x:v>
      </x:c>
      <x:c r="F615" t="str">
        <x:v>North</x:v>
      </x:c>
      <x:c r="G615" t="str">
        <x:v>Retail</x:v>
      </x:c>
      <x:c r="H615" t="str">
        <x:v>Completed</x:v>
      </x:c>
      <x:c r="I615" t="n">
        <x:v>1</x:v>
      </x:c>
      <x:c r="J615" s="12" t="n">
        <x:v>27.83</x:v>
      </x:c>
      <x:c r="K615" s="12" t="n">
        <x:v>13.11</x:v>
      </x:c>
      <x:c r="L615" s="14" t="n">
        <x:v>0</x:v>
      </x:c>
      <x:c r="M615" s="12" t="n">
        <x:f>IF(H615="Completed",I615*J615*(1-L615),0)</x:f>
        <x:v>27.83</x:v>
      </x:c>
      <x:c r="N615" s="12" t="n">
        <x:f>IF(H615="Completed",I615*K615,0)</x:f>
        <x:v>13.11</x:v>
      </x:c>
      <x:c r="O615" s="12" t="n">
        <x:f>M615-N615</x:f>
        <x:v>14.719999999999999</x:v>
      </x:c>
      <x:c r="P615" s="16" t="n">
        <x:f>IFERROR(O615/M615,0)</x:f>
        <x:v>0.5289256198347108</x:v>
      </x:c>
      <x:c r="Q615" t="n">
        <x:f>YEAR(B615)</x:f>
        <x:v>2025</x:v>
      </x:c>
      <x:c r="R615" t="str">
        <x:f>TEXT(B615,"yyyy-mm")</x:f>
        <x:v>2025-09</x:v>
      </x:c>
    </x:row>
    <x:row r="616">
      <x:c r="A616" t="n">
        <x:v>10205</x:v>
      </x:c>
      <x:c r="B616" s="10" t="n">
        <x:v>45913</x:v>
      </x:c>
      <x:c r="C616" t="str">
        <x:v>P003</x:v>
      </x:c>
      <x:c r="D616" t="str">
        <x:v>Keyboard</x:v>
      </x:c>
      <x:c r="E616" t="str">
        <x:v>Accessories</x:v>
      </x:c>
      <x:c r="F616" t="str">
        <x:v>Scotland</x:v>
      </x:c>
      <x:c r="G616" t="str">
        <x:v>Online</x:v>
      </x:c>
      <x:c r="H616" t="str">
        <x:v>Completed</x:v>
      </x:c>
      <x:c r="I616" t="n">
        <x:v>3</x:v>
      </x:c>
      <x:c r="J616" s="12" t="n">
        <x:v>47.98</x:v>
      </x:c>
      <x:c r="K616" s="12" t="n">
        <x:v>25.96</x:v>
      </x:c>
      <x:c r="L616" s="14" t="n">
        <x:v>0.05</x:v>
      </x:c>
      <x:c r="M616" s="12" t="n">
        <x:f>IF(H616="Completed",I616*J616*(1-L616),0)</x:f>
        <x:v>136.743</x:v>
      </x:c>
      <x:c r="N616" s="12" t="n">
        <x:f>IF(H616="Completed",I616*K616,0)</x:f>
        <x:v>77.88</x:v>
      </x:c>
      <x:c r="O616" s="12" t="n">
        <x:f>M616-N616</x:f>
        <x:v>58.863</x:v>
      </x:c>
      <x:c r="P616" s="16" t="n">
        <x:f>IFERROR(O616/M616,0)</x:f>
        <x:v>0.43046444790592575</x:v>
      </x:c>
      <x:c r="Q616" t="n">
        <x:f>YEAR(B616)</x:f>
        <x:v>2025</x:v>
      </x:c>
      <x:c r="R616" t="str">
        <x:f>TEXT(B616,"yyyy-mm")</x:f>
        <x:v>2025-09</x:v>
      </x:c>
    </x:row>
    <x:row r="617">
      <x:c r="A617" t="n">
        <x:v>10864</x:v>
      </x:c>
      <x:c r="B617" s="10" t="n">
        <x:v>45916</x:v>
      </x:c>
      <x:c r="C617" t="str">
        <x:v>P002</x:v>
      </x:c>
      <x:c r="D617" t="str">
        <x:v>Monitor</x:v>
      </x:c>
      <x:c r="E617" t="str">
        <x:v>Electronics</x:v>
      </x:c>
      <x:c r="F617" t="str">
        <x:v>South</x:v>
      </x:c>
      <x:c r="G617" t="str">
        <x:v>Online</x:v>
      </x:c>
      <x:c r="H617" t="str">
        <x:v>Completed</x:v>
      </x:c>
      <x:c r="I617" t="n">
        <x:v>1</x:v>
      </x:c>
      <x:c r="J617" s="12" t="n">
        <x:v>294.62</x:v>
      </x:c>
      <x:c r="K617" s="12" t="n">
        <x:v>167.93</x:v>
      </x:c>
      <x:c r="L617" s="14" t="n">
        <x:v>0</x:v>
      </x:c>
      <x:c r="M617" s="12" t="n">
        <x:f>IF(H617="Completed",I617*J617*(1-L617),0)</x:f>
        <x:v>294.62</x:v>
      </x:c>
      <x:c r="N617" s="12" t="n">
        <x:f>IF(H617="Completed",I617*K617,0)</x:f>
        <x:v>167.93</x:v>
      </x:c>
      <x:c r="O617" s="12" t="n">
        <x:f>M617-N617</x:f>
        <x:v>126.69</x:v>
      </x:c>
      <x:c r="P617" s="16" t="n">
        <x:f>IFERROR(O617/M617,0)</x:f>
        <x:v>0.43001154028918603</x:v>
      </x:c>
      <x:c r="Q617" t="n">
        <x:f>YEAR(B617)</x:f>
        <x:v>2025</x:v>
      </x:c>
      <x:c r="R617" t="str">
        <x:f>TEXT(B617,"yyyy-mm")</x:f>
        <x:v>2025-09</x:v>
      </x:c>
    </x:row>
    <x:row r="618">
      <x:c r="A618" t="n">
        <x:v>10035</x:v>
      </x:c>
      <x:c r="B618" s="10" t="n">
        <x:v>45918</x:v>
      </x:c>
      <x:c r="C618" t="str">
        <x:v>P001</x:v>
      </x:c>
      <x:c r="D618" t="str">
        <x:v>Laptop</x:v>
      </x:c>
      <x:c r="E618" t="str">
        <x:v>Electronics</x:v>
      </x:c>
      <x:c r="F618" t="str">
        <x:v>Wales</x:v>
      </x:c>
      <x:c r="G618" t="str">
        <x:v>Online</x:v>
      </x:c>
      <x:c r="H618" t="str">
        <x:v>Completed</x:v>
      </x:c>
      <x:c r="I618" t="n">
        <x:v>3</x:v>
      </x:c>
      <x:c r="J618" s="12" t="n">
        <x:v>899.83</x:v>
      </x:c>
      <x:c r="K618" s="12" t="n">
        <x:v>610.92</x:v>
      </x:c>
      <x:c r="L618" s="14" t="n">
        <x:v>0</x:v>
      </x:c>
      <x:c r="M618" s="12" t="n">
        <x:f>IF(H618="Completed",I618*J618*(1-L618),0)</x:f>
        <x:v>2699.4900000000002</x:v>
      </x:c>
      <x:c r="N618" s="12" t="n">
        <x:f>IF(H618="Completed",I618*K618,0)</x:f>
        <x:v>1832.7599999999998</x:v>
      </x:c>
      <x:c r="O618" s="12" t="n">
        <x:f>M618-N618</x:f>
        <x:v>866.7300000000005</x:v>
      </x:c>
      <x:c r="P618" s="16" t="n">
        <x:f>IFERROR(O618/M618,0)</x:f>
        <x:v>0.3210717579987332</x:v>
      </x:c>
      <x:c r="Q618" t="n">
        <x:f>YEAR(B618)</x:f>
        <x:v>2025</x:v>
      </x:c>
      <x:c r="R618" t="str">
        <x:f>TEXT(B618,"yyyy-mm")</x:f>
        <x:v>2025-09</x:v>
      </x:c>
    </x:row>
    <x:row r="619">
      <x:c r="A619" t="n">
        <x:v>10715</x:v>
      </x:c>
      <x:c r="B619" s="10" t="n">
        <x:v>45918</x:v>
      </x:c>
      <x:c r="C619" t="str">
        <x:v>P003</x:v>
      </x:c>
      <x:c r="D619" t="str">
        <x:v>Keyboard</x:v>
      </x:c>
      <x:c r="E619" t="str">
        <x:v>Accessories</x:v>
      </x:c>
      <x:c r="F619" t="str">
        <x:v>North</x:v>
      </x:c>
      <x:c r="G619" t="str">
        <x:v>Partner</x:v>
      </x:c>
      <x:c r="H619" t="str">
        <x:v>Completed</x:v>
      </x:c>
      <x:c r="I619" t="n">
        <x:v>2</x:v>
      </x:c>
      <x:c r="J619" s="12" t="n">
        <x:v>49.56</x:v>
      </x:c>
      <x:c r="K619" s="12" t="n">
        <x:v>26.57</x:v>
      </x:c>
      <x:c r="L619" s="14" t="n">
        <x:v>0</x:v>
      </x:c>
      <x:c r="M619" s="12" t="n">
        <x:f>IF(H619="Completed",I619*J619*(1-L619),0)</x:f>
        <x:v>99.12</x:v>
      </x:c>
      <x:c r="N619" s="12" t="n">
        <x:f>IF(H619="Completed",I619*K619,0)</x:f>
        <x:v>53.14</x:v>
      </x:c>
      <x:c r="O619" s="12" t="n">
        <x:f>M619-N619</x:f>
        <x:v>45.980000000000004</x:v>
      </x:c>
      <x:c r="P619" s="16" t="n">
        <x:f>IFERROR(O619/M619,0)</x:f>
        <x:v>0.4638821630347054</x:v>
      </x:c>
      <x:c r="Q619" t="n">
        <x:f>YEAR(B619)</x:f>
        <x:v>2025</x:v>
      </x:c>
      <x:c r="R619" t="str">
        <x:f>TEXT(B619,"yyyy-mm")</x:f>
        <x:v>2025-09</x:v>
      </x:c>
    </x:row>
    <x:row r="620">
      <x:c r="A620" t="n">
        <x:v>10529</x:v>
      </x:c>
      <x:c r="B620" s="10" t="n">
        <x:v>45919</x:v>
      </x:c>
      <x:c r="C620" t="str">
        <x:v>P006</x:v>
      </x:c>
      <x:c r="D620" t="str">
        <x:v>Chair</x:v>
      </x:c>
      <x:c r="E620" t="str">
        <x:v>Furniture</x:v>
      </x:c>
      <x:c r="F620" t="str">
        <x:v>North</x:v>
      </x:c>
      <x:c r="G620" t="str">
        <x:v>Online</x:v>
      </x:c>
      <x:c r="H620" t="str">
        <x:v>Completed</x:v>
      </x:c>
      <x:c r="I620" t="n">
        <x:v>3</x:v>
      </x:c>
      <x:c r="J620" s="12" t="n">
        <x:v>138.06</x:v>
      </x:c>
      <x:c r="K620" s="12" t="n">
        <x:v>67.88</x:v>
      </x:c>
      <x:c r="L620" s="14" t="n">
        <x:v>0.15</x:v>
      </x:c>
      <x:c r="M620" s="12" t="n">
        <x:f>IF(H620="Completed",I620*J620*(1-L620),0)</x:f>
        <x:v>352.053</x:v>
      </x:c>
      <x:c r="N620" s="12" t="n">
        <x:f>IF(H620="Completed",I620*K620,0)</x:f>
        <x:v>203.64</x:v>
      </x:c>
      <x:c r="O620" s="12" t="n">
        <x:f>M620-N620</x:f>
        <x:v>148.413</x:v>
      </x:c>
      <x:c r="P620" s="16" t="n">
        <x:f>IFERROR(O620/M620,0)</x:f>
        <x:v>0.42156436672887326</x:v>
      </x:c>
      <x:c r="Q620" t="n">
        <x:f>YEAR(B620)</x:f>
        <x:v>2025</x:v>
      </x:c>
      <x:c r="R620" t="str">
        <x:f>TEXT(B620,"yyyy-mm")</x:f>
        <x:v>2025-09</x:v>
      </x:c>
    </x:row>
    <x:row r="621">
      <x:c r="A621" t="n">
        <x:v>10645</x:v>
      </x:c>
      <x:c r="B621" s="10" t="n">
        <x:v>45919</x:v>
      </x:c>
      <x:c r="C621" t="str">
        <x:v>P006</x:v>
      </x:c>
      <x:c r="D621" t="str">
        <x:v>Chair</x:v>
      </x:c>
      <x:c r="E621" t="str">
        <x:v>Furniture</x:v>
      </x:c>
      <x:c r="F621" t="str">
        <x:v>North</x:v>
      </x:c>
      <x:c r="G621" t="str">
        <x:v>Online</x:v>
      </x:c>
      <x:c r="H621" t="str">
        <x:v>Completed</x:v>
      </x:c>
      <x:c r="I621" t="n">
        <x:v>4</x:v>
      </x:c>
      <x:c r="J621" s="12" t="n">
        <x:v>134.58</x:v>
      </x:c>
      <x:c r="K621" s="12" t="n">
        <x:v>66.93</x:v>
      </x:c>
      <x:c r="L621" s="14" t="n">
        <x:v>0</x:v>
      </x:c>
      <x:c r="M621" s="12" t="n">
        <x:f>IF(H621="Completed",I621*J621*(1-L621),0)</x:f>
        <x:v>538.32</x:v>
      </x:c>
      <x:c r="N621" s="12" t="n">
        <x:f>IF(H621="Completed",I621*K621,0)</x:f>
        <x:v>267.72</x:v>
      </x:c>
      <x:c r="O621" s="12" t="n">
        <x:f>M621-N621</x:f>
        <x:v>270.6</x:v>
      </x:c>
      <x:c r="P621" s="16" t="n">
        <x:f>IFERROR(O621/M621,0)</x:f>
        <x:v>0.5026749888542131</x:v>
      </x:c>
      <x:c r="Q621" t="n">
        <x:f>YEAR(B621)</x:f>
        <x:v>2025</x:v>
      </x:c>
      <x:c r="R621" t="str">
        <x:f>TEXT(B621,"yyyy-mm")</x:f>
        <x:v>2025-09</x:v>
      </x:c>
    </x:row>
    <x:row r="622">
      <x:c r="A622" t="n">
        <x:v>10142</x:v>
      </x:c>
      <x:c r="B622" s="10" t="n">
        <x:v>45920</x:v>
      </x:c>
      <x:c r="C622" t="str">
        <x:v>P001</x:v>
      </x:c>
      <x:c r="D622" t="str">
        <x:v>Laptop</x:v>
      </x:c>
      <x:c r="E622" t="str">
        <x:v>Electronics</x:v>
      </x:c>
      <x:c r="F622" t="str">
        <x:v>North</x:v>
      </x:c>
      <x:c r="G622" t="str">
        <x:v>Online</x:v>
      </x:c>
      <x:c r="H622" t="str">
        <x:v>Completed</x:v>
      </x:c>
      <x:c r="I622" t="n">
        <x:v>3</x:v>
      </x:c>
      <x:c r="J622" s="12" t="n">
        <x:v>915.01</x:v>
      </x:c>
      <x:c r="K622" s="12" t="n">
        <x:v>613.22</x:v>
      </x:c>
      <x:c r="L622" s="14" t="n">
        <x:v>0</x:v>
      </x:c>
      <x:c r="M622" s="12" t="n">
        <x:f>IF(H622="Completed",I622*J622*(1-L622),0)</x:f>
        <x:v>2745.0299999999997</x:v>
      </x:c>
      <x:c r="N622" s="12" t="n">
        <x:f>IF(H622="Completed",I622*K622,0)</x:f>
        <x:v>1839.66</x:v>
      </x:c>
      <x:c r="O622" s="12" t="n">
        <x:f>M622-N622</x:f>
        <x:v>905.3699999999997</x:v>
      </x:c>
      <x:c r="P622" s="16" t="n">
        <x:f>IFERROR(O622/M622,0)</x:f>
        <x:v>0.3298215320051146</x:v>
      </x:c>
      <x:c r="Q622" t="n">
        <x:f>YEAR(B622)</x:f>
        <x:v>2025</x:v>
      </x:c>
      <x:c r="R622" t="str">
        <x:f>TEXT(B622,"yyyy-mm")</x:f>
        <x:v>2025-09</x:v>
      </x:c>
    </x:row>
    <x:row r="623">
      <x:c r="A623" t="n">
        <x:v>10512</x:v>
      </x:c>
      <x:c r="B623" s="10" t="n">
        <x:v>45920</x:v>
      </x:c>
      <x:c r="C623" t="str">
        <x:v>P005</x:v>
      </x:c>
      <x:c r="D623" t="str">
        <x:v>Desk</x:v>
      </x:c>
      <x:c r="E623" t="str">
        <x:v>Furniture</x:v>
      </x:c>
      <x:c r="F623" t="str">
        <x:v>Wales</x:v>
      </x:c>
      <x:c r="G623" t="str">
        <x:v>Retail</x:v>
      </x:c>
      <x:c r="H623" t="str">
        <x:v>Completed</x:v>
      </x:c>
      <x:c r="I623" t="n">
        <x:v>1</x:v>
      </x:c>
      <x:c r="J623" s="12" t="n">
        <x:v>266.96</x:v>
      </x:c>
      <x:c r="K623" s="12" t="n">
        <x:v>158.49</x:v>
      </x:c>
      <x:c r="L623" s="14" t="n">
        <x:v>0.05</x:v>
      </x:c>
      <x:c r="M623" s="12" t="n">
        <x:f>IF(H623="Completed",I623*J623*(1-L623),0)</x:f>
        <x:v>253.61199999999997</x:v>
      </x:c>
      <x:c r="N623" s="12" t="n">
        <x:f>IF(H623="Completed",I623*K623,0)</x:f>
        <x:v>158.49</x:v>
      </x:c>
      <x:c r="O623" s="12" t="n">
        <x:f>M623-N623</x:f>
        <x:v>95.12199999999996</x:v>
      </x:c>
      <x:c r="P623" s="16" t="n">
        <x:f>IFERROR(O623/M623,0)</x:f>
        <x:v>0.37506900304401986</x:v>
      </x:c>
      <x:c r="Q623" t="n">
        <x:f>YEAR(B623)</x:f>
        <x:v>2025</x:v>
      </x:c>
      <x:c r="R623" t="str">
        <x:f>TEXT(B623,"yyyy-mm")</x:f>
        <x:v>2025-09</x:v>
      </x:c>
    </x:row>
    <x:row r="624">
      <x:c r="A624" t="n">
        <x:v>10536</x:v>
      </x:c>
      <x:c r="B624" s="10" t="n">
        <x:v>45920</x:v>
      </x:c>
      <x:c r="C624" t="str">
        <x:v>P005</x:v>
      </x:c>
      <x:c r="D624" t="str">
        <x:v>Desk</x:v>
      </x:c>
      <x:c r="E624" t="str">
        <x:v>Furniture</x:v>
      </x:c>
      <x:c r="F624" t="str">
        <x:v>South</x:v>
      </x:c>
      <x:c r="G624" t="str">
        <x:v>Online</x:v>
      </x:c>
      <x:c r="H624" t="str">
        <x:v>Completed</x:v>
      </x:c>
      <x:c r="I624" t="n">
        <x:v>4</x:v>
      </x:c>
      <x:c r="J624" s="12" t="n">
        <x:v>282.3</x:v>
      </x:c>
      <x:c r="K624" s="12" t="n">
        <x:v>154.51</x:v>
      </x:c>
      <x:c r="L624" s="14" t="n">
        <x:v>0.15</x:v>
      </x:c>
      <x:c r="M624" s="12" t="n">
        <x:f>IF(H624="Completed",I624*J624*(1-L624),0)</x:f>
        <x:v>959.82</x:v>
      </x:c>
      <x:c r="N624" s="12" t="n">
        <x:f>IF(H624="Completed",I624*K624,0)</x:f>
        <x:v>618.04</x:v>
      </x:c>
      <x:c r="O624" s="12" t="n">
        <x:f>M624-N624</x:f>
        <x:v>341.7800000000001</x:v>
      </x:c>
      <x:c r="P624" s="16" t="n">
        <x:f>IFERROR(O624/M624,0)</x:f>
        <x:v>0.3560875997582881</x:v>
      </x:c>
      <x:c r="Q624" t="n">
        <x:f>YEAR(B624)</x:f>
        <x:v>2025</x:v>
      </x:c>
      <x:c r="R624" t="str">
        <x:f>TEXT(B624,"yyyy-mm")</x:f>
        <x:v>2025-09</x:v>
      </x:c>
    </x:row>
    <x:row r="625">
      <x:c r="A625" t="n">
        <x:v>10794</x:v>
      </x:c>
      <x:c r="B625" s="10" t="n">
        <x:v>45921</x:v>
      </x:c>
      <x:c r="C625" t="str">
        <x:v>P007</x:v>
      </x:c>
      <x:c r="D625" t="str">
        <x:v>Headset</x:v>
      </x:c>
      <x:c r="E625" t="str">
        <x:v>Accessories</x:v>
      </x:c>
      <x:c r="F625" t="str">
        <x:v>South</x:v>
      </x:c>
      <x:c r="G625" t="str">
        <x:v>Online</x:v>
      </x:c>
      <x:c r="H625" t="str">
        <x:v>Completed</x:v>
      </x:c>
      <x:c r="I625" t="n">
        <x:v>1</x:v>
      </x:c>
      <x:c r="J625" s="12" t="n">
        <x:v>70.6</x:v>
      </x:c>
      <x:c r="K625" s="12" t="n">
        <x:v>35.5</x:v>
      </x:c>
      <x:c r="L625" s="14" t="n">
        <x:v>0</x:v>
      </x:c>
      <x:c r="M625" s="12" t="n">
        <x:f>IF(H625="Completed",I625*J625*(1-L625),0)</x:f>
        <x:v>70.6</x:v>
      </x:c>
      <x:c r="N625" s="12" t="n">
        <x:f>IF(H625="Completed",I625*K625,0)</x:f>
        <x:v>35.5</x:v>
      </x:c>
      <x:c r="O625" s="12" t="n">
        <x:f>M625-N625</x:f>
        <x:v>35.099999999999994</x:v>
      </x:c>
      <x:c r="P625" s="16" t="n">
        <x:f>IFERROR(O625/M625,0)</x:f>
        <x:v>0.49716713881019825</x:v>
      </x:c>
      <x:c r="Q625" t="n">
        <x:f>YEAR(B625)</x:f>
        <x:v>2025</x:v>
      </x:c>
      <x:c r="R625" t="str">
        <x:f>TEXT(B625,"yyyy-mm")</x:f>
        <x:v>2025-09</x:v>
      </x:c>
    </x:row>
    <x:row r="626">
      <x:c r="A626" t="n">
        <x:v>10311</x:v>
      </x:c>
      <x:c r="B626" s="10" t="n">
        <x:v>45922</x:v>
      </x:c>
      <x:c r="C626" t="str">
        <x:v>P003</x:v>
      </x:c>
      <x:c r="D626" t="str">
        <x:v>Keyboard</x:v>
      </x:c>
      <x:c r="E626" t="str">
        <x:v>Accessories</x:v>
      </x:c>
      <x:c r="F626" t="str">
        <x:v>Scotland</x:v>
      </x:c>
      <x:c r="G626" t="str">
        <x:v>Retail</x:v>
      </x:c>
      <x:c r="H626" t="str">
        <x:v>Cancelled</x:v>
      </x:c>
      <x:c r="I626" t="n">
        <x:v>2</x:v>
      </x:c>
      <x:c r="J626" s="12" t="n">
        <x:v>49.36</x:v>
      </x:c>
      <x:c r="K626" s="12" t="n">
        <x:v>26.26</x:v>
      </x:c>
      <x:c r="L626" s="14" t="n">
        <x:v>0</x:v>
      </x:c>
      <x:c r="M626" s="12" t="n">
        <x:f>IF(H626="Completed",I626*J626*(1-L626),0)</x:f>
        <x:v>0</x:v>
      </x:c>
      <x:c r="N626" s="12" t="n">
        <x:f>IF(H626="Completed",I626*K626,0)</x:f>
        <x:v>0</x:v>
      </x:c>
      <x:c r="O626" s="12" t="n">
        <x:f>M626-N626</x:f>
        <x:v>0</x:v>
      </x:c>
      <x:c r="P626" s="16" t="n">
        <x:f>IFERROR(O626/M626,0)</x:f>
        <x:v>0</x:v>
      </x:c>
      <x:c r="Q626" t="n">
        <x:f>YEAR(B626)</x:f>
        <x:v>2025</x:v>
      </x:c>
      <x:c r="R626" t="str">
        <x:f>TEXT(B626,"yyyy-mm")</x:f>
        <x:v>2025-09</x:v>
      </x:c>
    </x:row>
    <x:row r="627">
      <x:c r="A627" t="n">
        <x:v>10699</x:v>
      </x:c>
      <x:c r="B627" s="10" t="n">
        <x:v>45922</x:v>
      </x:c>
      <x:c r="C627" t="str">
        <x:v>P004</x:v>
      </x:c>
      <x:c r="D627" t="str">
        <x:v>Mouse</x:v>
      </x:c>
      <x:c r="E627" t="str">
        <x:v>Accessories</x:v>
      </x:c>
      <x:c r="F627" t="str">
        <x:v>Scotland</x:v>
      </x:c>
      <x:c r="G627" t="str">
        <x:v>Online</x:v>
      </x:c>
      <x:c r="H627" t="str">
        <x:v>Completed</x:v>
      </x:c>
      <x:c r="I627" t="n">
        <x:v>1</x:v>
      </x:c>
      <x:c r="J627" s="12" t="n">
        <x:v>26.42</x:v>
      </x:c>
      <x:c r="K627" s="12" t="n">
        <x:v>13.18</x:v>
      </x:c>
      <x:c r="L627" s="14" t="n">
        <x:v>0</x:v>
      </x:c>
      <x:c r="M627" s="12" t="n">
        <x:f>IF(H627="Completed",I627*J627*(1-L627),0)</x:f>
        <x:v>26.42</x:v>
      </x:c>
      <x:c r="N627" s="12" t="n">
        <x:f>IF(H627="Completed",I627*K627,0)</x:f>
        <x:v>13.18</x:v>
      </x:c>
      <x:c r="O627" s="12" t="n">
        <x:f>M627-N627</x:f>
        <x:v>13.240000000000002</x:v>
      </x:c>
      <x:c r="P627" s="16" t="n">
        <x:f>IFERROR(O627/M627,0)</x:f>
        <x:v>0.5011355034065103</x:v>
      </x:c>
      <x:c r="Q627" t="n">
        <x:f>YEAR(B627)</x:f>
        <x:v>2025</x:v>
      </x:c>
      <x:c r="R627" t="str">
        <x:f>TEXT(B627,"yyyy-mm")</x:f>
        <x:v>2025-09</x:v>
      </x:c>
    </x:row>
    <x:row r="628">
      <x:c r="A628" t="n">
        <x:v>10266</x:v>
      </x:c>
      <x:c r="B628" s="10" t="n">
        <x:v>45923</x:v>
      </x:c>
      <x:c r="C628" t="str">
        <x:v>P008</x:v>
      </x:c>
      <x:c r="D628" t="str">
        <x:v>Webcam</x:v>
      </x:c>
      <x:c r="E628" t="str">
        <x:v>Electronics</x:v>
      </x:c>
      <x:c r="F628" t="str">
        <x:v>North</x:v>
      </x:c>
      <x:c r="G628" t="str">
        <x:v>Online</x:v>
      </x:c>
      <x:c r="H628" t="str">
        <x:v>Completed</x:v>
      </x:c>
      <x:c r="I628" t="n">
        <x:v>4</x:v>
      </x:c>
      <x:c r="J628" s="12" t="n">
        <x:v>86.43</x:v>
      </x:c>
      <x:c r="K628" s="12" t="n">
        <x:v>42.68</x:v>
      </x:c>
      <x:c r="L628" s="14" t="n">
        <x:v>0</x:v>
      </x:c>
      <x:c r="M628" s="12" t="n">
        <x:f>IF(H628="Completed",I628*J628*(1-L628),0)</x:f>
        <x:v>345.72</x:v>
      </x:c>
      <x:c r="N628" s="12" t="n">
        <x:f>IF(H628="Completed",I628*K628,0)</x:f>
        <x:v>170.72</x:v>
      </x:c>
      <x:c r="O628" s="12" t="n">
        <x:f>M628-N628</x:f>
        <x:v>175.00000000000003</x:v>
      </x:c>
      <x:c r="P628" s="16" t="n">
        <x:f>IFERROR(O628/M628,0)</x:f>
        <x:v>0.5061899803309037</x:v>
      </x:c>
      <x:c r="Q628" t="n">
        <x:f>YEAR(B628)</x:f>
        <x:v>2025</x:v>
      </x:c>
      <x:c r="R628" t="str">
        <x:f>TEXT(B628,"yyyy-mm")</x:f>
        <x:v>2025-09</x:v>
      </x:c>
    </x:row>
    <x:row r="629">
      <x:c r="A629" t="n">
        <x:v>10924</x:v>
      </x:c>
      <x:c r="B629" s="10" t="n">
        <x:v>45924</x:v>
      </x:c>
      <x:c r="C629" t="str">
        <x:v>P007</x:v>
      </x:c>
      <x:c r="D629" t="str">
        <x:v>Headset</x:v>
      </x:c>
      <x:c r="E629" t="str">
        <x:v>Accessories</x:v>
      </x:c>
      <x:c r="F629" t="str">
        <x:v>Scotland</x:v>
      </x:c>
      <x:c r="G629" t="str">
        <x:v>Retail</x:v>
      </x:c>
      <x:c r="H629" t="str">
        <x:v>Cancelled</x:v>
      </x:c>
      <x:c r="I629" t="n">
        <x:v>2</x:v>
      </x:c>
      <x:c r="J629" s="12" t="n">
        <x:v>72.13</x:v>
      </x:c>
      <x:c r="K629" s="12" t="n">
        <x:v>35.11</x:v>
      </x:c>
      <x:c r="L629" s="14" t="n">
        <x:v>0</x:v>
      </x:c>
      <x:c r="M629" s="12" t="n">
        <x:f>IF(H629="Completed",I629*J629*(1-L629),0)</x:f>
        <x:v>0</x:v>
      </x:c>
      <x:c r="N629" s="12" t="n">
        <x:f>IF(H629="Completed",I629*K629,0)</x:f>
        <x:v>0</x:v>
      </x:c>
      <x:c r="O629" s="12" t="n">
        <x:f>M629-N629</x:f>
        <x:v>0</x:v>
      </x:c>
      <x:c r="P629" s="16" t="n">
        <x:f>IFERROR(O629/M629,0)</x:f>
        <x:v>0</x:v>
      </x:c>
      <x:c r="Q629" t="n">
        <x:f>YEAR(B629)</x:f>
        <x:v>2025</x:v>
      </x:c>
      <x:c r="R629" t="str">
        <x:f>TEXT(B629,"yyyy-mm")</x:f>
        <x:v>2025-09</x:v>
      </x:c>
    </x:row>
    <x:row r="630">
      <x:c r="A630" t="n">
        <x:v>10561</x:v>
      </x:c>
      <x:c r="B630" s="10" t="n">
        <x:v>45925</x:v>
      </x:c>
      <x:c r="C630" t="str">
        <x:v>P006</x:v>
      </x:c>
      <x:c r="D630" t="str">
        <x:v>Chair</x:v>
      </x:c>
      <x:c r="E630" t="str">
        <x:v>Furniture</x:v>
      </x:c>
      <x:c r="F630" t="str">
        <x:v>North</x:v>
      </x:c>
      <x:c r="G630" t="str">
        <x:v>Retail</x:v>
      </x:c>
      <x:c r="H630" t="str">
        <x:v>Cancelled</x:v>
      </x:c>
      <x:c r="I630" t="n">
        <x:v>1</x:v>
      </x:c>
      <x:c r="J630" s="12" t="n">
        <x:v>132.14</x:v>
      </x:c>
      <x:c r="K630" s="12" t="n">
        <x:v>67.43</x:v>
      </x:c>
      <x:c r="L630" s="14" t="n">
        <x:v>0</x:v>
      </x:c>
      <x:c r="M630" s="12" t="n">
        <x:f>IF(H630="Completed",I630*J630*(1-L630),0)</x:f>
        <x:v>0</x:v>
      </x:c>
      <x:c r="N630" s="12" t="n">
        <x:f>IF(H630="Completed",I630*K630,0)</x:f>
        <x:v>0</x:v>
      </x:c>
      <x:c r="O630" s="12" t="n">
        <x:f>M630-N630</x:f>
        <x:v>0</x:v>
      </x:c>
      <x:c r="P630" s="16" t="n">
        <x:f>IFERROR(O630/M630,0)</x:f>
        <x:v>0</x:v>
      </x:c>
      <x:c r="Q630" t="n">
        <x:f>YEAR(B630)</x:f>
        <x:v>2025</x:v>
      </x:c>
      <x:c r="R630" t="str">
        <x:f>TEXT(B630,"yyyy-mm")</x:f>
        <x:v>2025-09</x:v>
      </x:c>
    </x:row>
    <x:row r="631">
      <x:c r="A631" t="n">
        <x:v>10566</x:v>
      </x:c>
      <x:c r="B631" s="10" t="n">
        <x:v>45926</x:v>
      </x:c>
      <x:c r="C631" t="str">
        <x:v>P006</x:v>
      </x:c>
      <x:c r="D631" t="str">
        <x:v>Chair</x:v>
      </x:c>
      <x:c r="E631" t="str">
        <x:v>Furniture</x:v>
      </x:c>
      <x:c r="F631" t="str">
        <x:v>Midlands</x:v>
      </x:c>
      <x:c r="G631" t="str">
        <x:v>Online</x:v>
      </x:c>
      <x:c r="H631" t="str">
        <x:v>Cancelled</x:v>
      </x:c>
      <x:c r="I631" t="n">
        <x:v>2</x:v>
      </x:c>
      <x:c r="J631" s="12" t="n">
        <x:v>132.74</x:v>
      </x:c>
      <x:c r="K631" s="12" t="n">
        <x:v>68.96</x:v>
      </x:c>
      <x:c r="L631" s="14" t="n">
        <x:v>0.05</x:v>
      </x:c>
      <x:c r="M631" s="12" t="n">
        <x:f>IF(H631="Completed",I631*J631*(1-L631),0)</x:f>
        <x:v>0</x:v>
      </x:c>
      <x:c r="N631" s="12" t="n">
        <x:f>IF(H631="Completed",I631*K631,0)</x:f>
        <x:v>0</x:v>
      </x:c>
      <x:c r="O631" s="12" t="n">
        <x:f>M631-N631</x:f>
        <x:v>0</x:v>
      </x:c>
      <x:c r="P631" s="16" t="n">
        <x:f>IFERROR(O631/M631,0)</x:f>
        <x:v>0</x:v>
      </x:c>
      <x:c r="Q631" t="n">
        <x:f>YEAR(B631)</x:f>
        <x:v>2025</x:v>
      </x:c>
      <x:c r="R631" t="str">
        <x:f>TEXT(B631,"yyyy-mm")</x:f>
        <x:v>2025-09</x:v>
      </x:c>
    </x:row>
    <x:row r="632">
      <x:c r="A632" t="n">
        <x:v>10432</x:v>
      </x:c>
      <x:c r="B632" s="10" t="n">
        <x:v>45928</x:v>
      </x:c>
      <x:c r="C632" t="str">
        <x:v>P005</x:v>
      </x:c>
      <x:c r="D632" t="str">
        <x:v>Desk</x:v>
      </x:c>
      <x:c r="E632" t="str">
        <x:v>Furniture</x:v>
      </x:c>
      <x:c r="F632" t="str">
        <x:v>Midlands</x:v>
      </x:c>
      <x:c r="G632" t="str">
        <x:v>Online</x:v>
      </x:c>
      <x:c r="H632" t="str">
        <x:v>Completed</x:v>
      </x:c>
      <x:c r="I632" t="n">
        <x:v>1</x:v>
      </x:c>
      <x:c r="J632" s="12" t="n">
        <x:v>274.45</x:v>
      </x:c>
      <x:c r="K632" s="12" t="n">
        <x:v>155.44</x:v>
      </x:c>
      <x:c r="L632" s="14" t="n">
        <x:v>0.05</x:v>
      </x:c>
      <x:c r="M632" s="12" t="n">
        <x:f>IF(H632="Completed",I632*J632*(1-L632),0)</x:f>
        <x:v>260.72749999999996</x:v>
      </x:c>
      <x:c r="N632" s="12" t="n">
        <x:f>IF(H632="Completed",I632*K632,0)</x:f>
        <x:v>155.44</x:v>
      </x:c>
      <x:c r="O632" s="12" t="n">
        <x:f>M632-N632</x:f>
        <x:v>105.28749999999997</x:v>
      </x:c>
      <x:c r="P632" s="16" t="n">
        <x:f>IFERROR(O632/M632,0)</x:f>
        <x:v>0.4038219980631118</x:v>
      </x:c>
      <x:c r="Q632" t="n">
        <x:f>YEAR(B632)</x:f>
        <x:v>2025</x:v>
      </x:c>
      <x:c r="R632" t="str">
        <x:f>TEXT(B632,"yyyy-mm")</x:f>
        <x:v>2025-09</x:v>
      </x:c>
    </x:row>
    <x:row r="633">
      <x:c r="A633" t="n">
        <x:v>10283</x:v>
      </x:c>
      <x:c r="B633" s="10" t="n">
        <x:v>45932</x:v>
      </x:c>
      <x:c r="C633" t="str">
        <x:v>P008</x:v>
      </x:c>
      <x:c r="D633" t="str">
        <x:v>Webcam</x:v>
      </x:c>
      <x:c r="E633" t="str">
        <x:v>Electronics</x:v>
      </x:c>
      <x:c r="F633" t="str">
        <x:v>Midlands</x:v>
      </x:c>
      <x:c r="G633" t="str">
        <x:v>Online</x:v>
      </x:c>
      <x:c r="H633" t="str">
        <x:v>Completed</x:v>
      </x:c>
      <x:c r="I633" t="n">
        <x:v>2</x:v>
      </x:c>
      <x:c r="J633" s="12" t="n">
        <x:v>88.4</x:v>
      </x:c>
      <x:c r="K633" s="12" t="n">
        <x:v>42.46</x:v>
      </x:c>
      <x:c r="L633" s="14" t="n">
        <x:v>0.05</x:v>
      </x:c>
      <x:c r="M633" s="12" t="n">
        <x:f>IF(H633="Completed",I633*J633*(1-L633),0)</x:f>
        <x:v>167.96</x:v>
      </x:c>
      <x:c r="N633" s="12" t="n">
        <x:f>IF(H633="Completed",I633*K633,0)</x:f>
        <x:v>84.92</x:v>
      </x:c>
      <x:c r="O633" s="12" t="n">
        <x:f>M633-N633</x:f>
        <x:v>83.04</x:v>
      </x:c>
      <x:c r="P633" s="16" t="n">
        <x:f>IFERROR(O633/M633,0)</x:f>
        <x:v>0.4944034293879495</x:v>
      </x:c>
      <x:c r="Q633" t="n">
        <x:f>YEAR(B633)</x:f>
        <x:v>2025</x:v>
      </x:c>
      <x:c r="R633" t="str">
        <x:f>TEXT(B633,"yyyy-mm")</x:f>
        <x:v>2025-10</x:v>
      </x:c>
    </x:row>
    <x:row r="634">
      <x:c r="A634" t="n">
        <x:v>10319</x:v>
      </x:c>
      <x:c r="B634" s="10" t="n">
        <x:v>45933</x:v>
      </x:c>
      <x:c r="C634" t="str">
        <x:v>P008</x:v>
      </x:c>
      <x:c r="D634" t="str">
        <x:v>Webcam</x:v>
      </x:c>
      <x:c r="E634" t="str">
        <x:v>Electronics</x:v>
      </x:c>
      <x:c r="F634" t="str">
        <x:v>North</x:v>
      </x:c>
      <x:c r="G634" t="str">
        <x:v>Partner</x:v>
      </x:c>
      <x:c r="H634" t="str">
        <x:v>Completed</x:v>
      </x:c>
      <x:c r="I634" t="n">
        <x:v>1</x:v>
      </x:c>
      <x:c r="J634" s="12" t="n">
        <x:v>86.33</x:v>
      </x:c>
      <x:c r="K634" s="12" t="n">
        <x:v>43.17</x:v>
      </x:c>
      <x:c r="L634" s="14" t="n">
        <x:v>0.05</x:v>
      </x:c>
      <x:c r="M634" s="12" t="n">
        <x:f>IF(H634="Completed",I634*J634*(1-L634),0)</x:f>
        <x:v>82.0135</x:v>
      </x:c>
      <x:c r="N634" s="12" t="n">
        <x:f>IF(H634="Completed",I634*K634,0)</x:f>
        <x:v>43.17</x:v>
      </x:c>
      <x:c r="O634" s="12" t="n">
        <x:f>M634-N634</x:f>
        <x:v>38.84349999999999</x:v>
      </x:c>
      <x:c r="P634" s="16" t="n">
        <x:f>IFERROR(O634/M634,0)</x:f>
        <x:v>0.47362324495357466</x:v>
      </x:c>
      <x:c r="Q634" t="n">
        <x:f>YEAR(B634)</x:f>
        <x:v>2025</x:v>
      </x:c>
      <x:c r="R634" t="str">
        <x:f>TEXT(B634,"yyyy-mm")</x:f>
        <x:v>2025-10</x:v>
      </x:c>
    </x:row>
    <x:row r="635">
      <x:c r="A635" t="n">
        <x:v>10920</x:v>
      </x:c>
      <x:c r="B635" s="10" t="n">
        <x:v>45933</x:v>
      </x:c>
      <x:c r="C635" t="str">
        <x:v>P006</x:v>
      </x:c>
      <x:c r="D635" t="str">
        <x:v>Chair</x:v>
      </x:c>
      <x:c r="E635" t="str">
        <x:v>Furniture</x:v>
      </x:c>
      <x:c r="F635" t="str">
        <x:v>Midlands</x:v>
      </x:c>
      <x:c r="G635" t="str">
        <x:v>Online</x:v>
      </x:c>
      <x:c r="H635" t="str">
        <x:v>Completed</x:v>
      </x:c>
      <x:c r="I635" t="n">
        <x:v>3</x:v>
      </x:c>
      <x:c r="J635" s="12" t="n">
        <x:v>138.71</x:v>
      </x:c>
      <x:c r="K635" s="12" t="n">
        <x:v>68.41</x:v>
      </x:c>
      <x:c r="L635" s="14" t="n">
        <x:v>0</x:v>
      </x:c>
      <x:c r="M635" s="12" t="n">
        <x:f>IF(H635="Completed",I635*J635*(1-L635),0)</x:f>
        <x:v>416.13</x:v>
      </x:c>
      <x:c r="N635" s="12" t="n">
        <x:f>IF(H635="Completed",I635*K635,0)</x:f>
        <x:v>205.23</x:v>
      </x:c>
      <x:c r="O635" s="12" t="n">
        <x:f>M635-N635</x:f>
        <x:v>210.9</x:v>
      </x:c>
      <x:c r="P635" s="16" t="n">
        <x:f>IFERROR(O635/M635,0)</x:f>
        <x:v>0.506812774854012</x:v>
      </x:c>
      <x:c r="Q635" t="n">
        <x:f>YEAR(B635)</x:f>
        <x:v>2025</x:v>
      </x:c>
      <x:c r="R635" t="str">
        <x:f>TEXT(B635,"yyyy-mm")</x:f>
        <x:v>2025-10</x:v>
      </x:c>
    </x:row>
    <x:row r="636">
      <x:c r="A636" t="n">
        <x:v>10627</x:v>
      </x:c>
      <x:c r="B636" s="10" t="n">
        <x:v>45936</x:v>
      </x:c>
      <x:c r="C636" t="str">
        <x:v>P002</x:v>
      </x:c>
      <x:c r="D636" t="str">
        <x:v>Monitor</x:v>
      </x:c>
      <x:c r="E636" t="str">
        <x:v>Electronics</x:v>
      </x:c>
      <x:c r="F636" t="str">
        <x:v>South</x:v>
      </x:c>
      <x:c r="G636" t="str">
        <x:v>Retail</x:v>
      </x:c>
      <x:c r="H636" t="str">
        <x:v>Completed</x:v>
      </x:c>
      <x:c r="I636" t="n">
        <x:v>4</x:v>
      </x:c>
      <x:c r="J636" s="12" t="n">
        <x:v>288.6</x:v>
      </x:c>
      <x:c r="K636" s="12" t="n">
        <x:v>169.29</x:v>
      </x:c>
      <x:c r="L636" s="14" t="n">
        <x:v>0.05</x:v>
      </x:c>
      <x:c r="M636" s="12" t="n">
        <x:f>IF(H636="Completed",I636*J636*(1-L636),0)</x:f>
        <x:v>1096.68</x:v>
      </x:c>
      <x:c r="N636" s="12" t="n">
        <x:f>IF(H636="Completed",I636*K636,0)</x:f>
        <x:v>677.16</x:v>
      </x:c>
      <x:c r="O636" s="12" t="n">
        <x:f>M636-N636</x:f>
        <x:v>419.5200000000001</x:v>
      </x:c>
      <x:c r="P636" s="16" t="n">
        <x:f>IFERROR(O636/M636,0)</x:f>
        <x:v>0.3825363825363826</x:v>
      </x:c>
      <x:c r="Q636" t="n">
        <x:f>YEAR(B636)</x:f>
        <x:v>2025</x:v>
      </x:c>
      <x:c r="R636" t="str">
        <x:f>TEXT(B636,"yyyy-mm")</x:f>
        <x:v>2025-10</x:v>
      </x:c>
    </x:row>
    <x:row r="637">
      <x:c r="A637" t="n">
        <x:v>10537</x:v>
      </x:c>
      <x:c r="B637" s="10" t="n">
        <x:v>45938</x:v>
      </x:c>
      <x:c r="C637" t="str">
        <x:v>P007</x:v>
      </x:c>
      <x:c r="D637" t="str">
        <x:v>Headset</x:v>
      </x:c>
      <x:c r="E637" t="str">
        <x:v>Accessories</x:v>
      </x:c>
      <x:c r="F637" t="str">
        <x:v>North</x:v>
      </x:c>
      <x:c r="G637" t="str">
        <x:v>Online</x:v>
      </x:c>
      <x:c r="H637" t="str">
        <x:v>Completed</x:v>
      </x:c>
      <x:c r="I637" t="n">
        <x:v>1</x:v>
      </x:c>
      <x:c r="J637" s="12" t="n">
        <x:v>73.13</x:v>
      </x:c>
      <x:c r="K637" s="12" t="n">
        <x:v>35.54</x:v>
      </x:c>
      <x:c r="L637" s="14" t="n">
        <x:v>0</x:v>
      </x:c>
      <x:c r="M637" s="12" t="n">
        <x:f>IF(H637="Completed",I637*J637*(1-L637),0)</x:f>
        <x:v>73.13</x:v>
      </x:c>
      <x:c r="N637" s="12" t="n">
        <x:f>IF(H637="Completed",I637*K637,0)</x:f>
        <x:v>35.54</x:v>
      </x:c>
      <x:c r="O637" s="12" t="n">
        <x:f>M637-N637</x:f>
        <x:v>37.589999999999996</x:v>
      </x:c>
      <x:c r="P637" s="16" t="n">
        <x:f>IFERROR(O637/M637,0)</x:f>
        <x:v>0.5140161356488445</x:v>
      </x:c>
      <x:c r="Q637" t="n">
        <x:f>YEAR(B637)</x:f>
        <x:v>2025</x:v>
      </x:c>
      <x:c r="R637" t="str">
        <x:f>TEXT(B637,"yyyy-mm")</x:f>
        <x:v>2025-10</x:v>
      </x:c>
    </x:row>
    <x:row r="638">
      <x:c r="A638" t="n">
        <x:v>10278</x:v>
      </x:c>
      <x:c r="B638" s="10" t="n">
        <x:v>45941</x:v>
      </x:c>
      <x:c r="C638" t="str">
        <x:v>P003</x:v>
      </x:c>
      <x:c r="D638" t="str">
        <x:v>Keyboard</x:v>
      </x:c>
      <x:c r="E638" t="str">
        <x:v>Accessories</x:v>
      </x:c>
      <x:c r="F638" t="str">
        <x:v>Midlands</x:v>
      </x:c>
      <x:c r="G638" t="str">
        <x:v>Online</x:v>
      </x:c>
      <x:c r="H638" t="str">
        <x:v>Completed</x:v>
      </x:c>
      <x:c r="I638" t="n">
        <x:v>4</x:v>
      </x:c>
      <x:c r="J638" s="12" t="n">
        <x:v>49.06</x:v>
      </x:c>
      <x:c r="K638" s="12" t="n">
        <x:v>26.47</x:v>
      </x:c>
      <x:c r="L638" s="14" t="n">
        <x:v>0</x:v>
      </x:c>
      <x:c r="M638" s="12" t="n">
        <x:f>IF(H638="Completed",I638*J638*(1-L638),0)</x:f>
        <x:v>196.24</x:v>
      </x:c>
      <x:c r="N638" s="12" t="n">
        <x:f>IF(H638="Completed",I638*K638,0)</x:f>
        <x:v>105.88</x:v>
      </x:c>
      <x:c r="O638" s="12" t="n">
        <x:f>M638-N638</x:f>
        <x:v>90.36000000000001</x:v>
      </x:c>
      <x:c r="P638" s="16" t="n">
        <x:f>IFERROR(O638/M638,0)</x:f>
        <x:v>0.46045658377496945</x:v>
      </x:c>
      <x:c r="Q638" t="n">
        <x:f>YEAR(B638)</x:f>
        <x:v>2025</x:v>
      </x:c>
      <x:c r="R638" t="str">
        <x:f>TEXT(B638,"yyyy-mm")</x:f>
        <x:v>2025-10</x:v>
      </x:c>
    </x:row>
    <x:row r="639">
      <x:c r="A639" t="n">
        <x:v>10317</x:v>
      </x:c>
      <x:c r="B639" s="10" t="n">
        <x:v>45942</x:v>
      </x:c>
      <x:c r="C639" t="str">
        <x:v>P006</x:v>
      </x:c>
      <x:c r="D639" t="str">
        <x:v>Chair</x:v>
      </x:c>
      <x:c r="E639" t="str">
        <x:v>Furniture</x:v>
      </x:c>
      <x:c r="F639" t="str">
        <x:v>Scotland</x:v>
      </x:c>
      <x:c r="G639" t="str">
        <x:v>Online</x:v>
      </x:c>
      <x:c r="H639" t="str">
        <x:v>Completed</x:v>
      </x:c>
      <x:c r="I639" t="n">
        <x:v>1</x:v>
      </x:c>
      <x:c r="J639" s="12" t="n">
        <x:v>135.63</x:v>
      </x:c>
      <x:c r="K639" s="12" t="n">
        <x:v>67.74</x:v>
      </x:c>
      <x:c r="L639" s="14" t="n">
        <x:v>0</x:v>
      </x:c>
      <x:c r="M639" s="12" t="n">
        <x:f>IF(H639="Completed",I639*J639*(1-L639),0)</x:f>
        <x:v>135.63</x:v>
      </x:c>
      <x:c r="N639" s="12" t="n">
        <x:f>IF(H639="Completed",I639*K639,0)</x:f>
        <x:v>67.74</x:v>
      </x:c>
      <x:c r="O639" s="12" t="n">
        <x:f>M639-N639</x:f>
        <x:v>67.89</x:v>
      </x:c>
      <x:c r="P639" s="16" t="n">
        <x:f>IFERROR(O639/M639,0)</x:f>
        <x:v>0.5005529750055298</x:v>
      </x:c>
      <x:c r="Q639" t="n">
        <x:f>YEAR(B639)</x:f>
        <x:v>2025</x:v>
      </x:c>
      <x:c r="R639" t="str">
        <x:f>TEXT(B639,"yyyy-mm")</x:f>
        <x:v>2025-10</x:v>
      </x:c>
    </x:row>
    <x:row r="640">
      <x:c r="A640" t="n">
        <x:v>10116</x:v>
      </x:c>
      <x:c r="B640" s="10" t="n">
        <x:v>45943</x:v>
      </x:c>
      <x:c r="C640" t="str">
        <x:v>P004</x:v>
      </x:c>
      <x:c r="D640" t="str">
        <x:v>Mouse</x:v>
      </x:c>
      <x:c r="E640" t="str">
        <x:v>Accessories</x:v>
      </x:c>
      <x:c r="F640" t="str">
        <x:v>South</x:v>
      </x:c>
      <x:c r="G640" t="str">
        <x:v>Retail</x:v>
      </x:c>
      <x:c r="H640" t="str">
        <x:v>Completed</x:v>
      </x:c>
      <x:c r="I640" t="n">
        <x:v>3</x:v>
      </x:c>
      <x:c r="J640" s="12" t="n">
        <x:v>26.37</x:v>
      </x:c>
      <x:c r="K640" s="12" t="n">
        <x:v>13.15</x:v>
      </x:c>
      <x:c r="L640" s="14" t="n">
        <x:v>0.15</x:v>
      </x:c>
      <x:c r="M640" s="12" t="n">
        <x:f>IF(H640="Completed",I640*J640*(1-L640),0)</x:f>
        <x:v>67.2435</x:v>
      </x:c>
      <x:c r="N640" s="12" t="n">
        <x:f>IF(H640="Completed",I640*K640,0)</x:f>
        <x:v>39.45</x:v>
      </x:c>
      <x:c r="O640" s="12" t="n">
        <x:f>M640-N640</x:f>
        <x:v>27.793499999999995</x:v>
      </x:c>
      <x:c r="P640" s="16" t="n">
        <x:f>IFERROR(O640/M640,0)</x:f>
        <x:v>0.4133261950969238</x:v>
      </x:c>
      <x:c r="Q640" t="n">
        <x:f>YEAR(B640)</x:f>
        <x:v>2025</x:v>
      </x:c>
      <x:c r="R640" t="str">
        <x:f>TEXT(B640,"yyyy-mm")</x:f>
        <x:v>2025-10</x:v>
      </x:c>
    </x:row>
    <x:row r="641">
      <x:c r="A641" t="n">
        <x:v>10674</x:v>
      </x:c>
      <x:c r="B641" s="10" t="n">
        <x:v>45944</x:v>
      </x:c>
      <x:c r="C641" t="str">
        <x:v>P003</x:v>
      </x:c>
      <x:c r="D641" t="str">
        <x:v>Keyboard</x:v>
      </x:c>
      <x:c r="E641" t="str">
        <x:v>Accessories</x:v>
      </x:c>
      <x:c r="F641" t="str">
        <x:v>South</x:v>
      </x:c>
      <x:c r="G641" t="str">
        <x:v>Retail</x:v>
      </x:c>
      <x:c r="H641" t="str">
        <x:v>Completed</x:v>
      </x:c>
      <x:c r="I641" t="n">
        <x:v>2</x:v>
      </x:c>
      <x:c r="J641" s="12" t="n">
        <x:v>48.44</x:v>
      </x:c>
      <x:c r="K641" s="12" t="n">
        <x:v>26.55</x:v>
      </x:c>
      <x:c r="L641" s="14" t="n">
        <x:v>0.15</x:v>
      </x:c>
      <x:c r="M641" s="12" t="n">
        <x:f>IF(H641="Completed",I641*J641*(1-L641),0)</x:f>
        <x:v>82.348</x:v>
      </x:c>
      <x:c r="N641" s="12" t="n">
        <x:f>IF(H641="Completed",I641*K641,0)</x:f>
        <x:v>53.1</x:v>
      </x:c>
      <x:c r="O641" s="12" t="n">
        <x:f>M641-N641</x:f>
        <x:v>29.247999999999998</x:v>
      </x:c>
      <x:c r="P641" s="16" t="n">
        <x:f>IFERROR(O641/M641,0)</x:f>
        <x:v>0.3551755962500607</x:v>
      </x:c>
      <x:c r="Q641" t="n">
        <x:f>YEAR(B641)</x:f>
        <x:v>2025</x:v>
      </x:c>
      <x:c r="R641" t="str">
        <x:f>TEXT(B641,"yyyy-mm")</x:f>
        <x:v>2025-10</x:v>
      </x:c>
    </x:row>
    <x:row r="642">
      <x:c r="A642" t="n">
        <x:v>10195</x:v>
      </x:c>
      <x:c r="B642" s="10" t="n">
        <x:v>45945</x:v>
      </x:c>
      <x:c r="C642" t="str">
        <x:v>P003</x:v>
      </x:c>
      <x:c r="D642" t="str">
        <x:v>Keyboard</x:v>
      </x:c>
      <x:c r="E642" t="str">
        <x:v>Accessories</x:v>
      </x:c>
      <x:c r="F642" t="str">
        <x:v>South</x:v>
      </x:c>
      <x:c r="G642" t="str">
        <x:v>Online</x:v>
      </x:c>
      <x:c r="H642" t="str">
        <x:v>Completed</x:v>
      </x:c>
      <x:c r="I642" t="n">
        <x:v>3</x:v>
      </x:c>
      <x:c r="J642" s="12" t="n">
        <x:v>48.34</x:v>
      </x:c>
      <x:c r="K642" s="12" t="n">
        <x:v>26.12</x:v>
      </x:c>
      <x:c r="L642" s="14" t="n">
        <x:v>0</x:v>
      </x:c>
      <x:c r="M642" s="12" t="n">
        <x:f>IF(H642="Completed",I642*J642*(1-L642),0)</x:f>
        <x:v>145.02</x:v>
      </x:c>
      <x:c r="N642" s="12" t="n">
        <x:f>IF(H642="Completed",I642*K642,0)</x:f>
        <x:v>78.36</x:v>
      </x:c>
      <x:c r="O642" s="12" t="n">
        <x:f>M642-N642</x:f>
        <x:v>66.66000000000001</x:v>
      </x:c>
      <x:c r="P642" s="16" t="n">
        <x:f>IFERROR(O642/M642,0)</x:f>
        <x:v>0.4596607364501448</x:v>
      </x:c>
      <x:c r="Q642" t="n">
        <x:f>YEAR(B642)</x:f>
        <x:v>2025</x:v>
      </x:c>
      <x:c r="R642" t="str">
        <x:f>TEXT(B642,"yyyy-mm")</x:f>
        <x:v>2025-10</x:v>
      </x:c>
    </x:row>
    <x:row r="643">
      <x:c r="A643" t="n">
        <x:v>10001</x:v>
      </x:c>
      <x:c r="B643" s="10" t="n">
        <x:v>45946</x:v>
      </x:c>
      <x:c r="C643" t="str">
        <x:v>P002</x:v>
      </x:c>
      <x:c r="D643" t="str">
        <x:v>Monitor</x:v>
      </x:c>
      <x:c r="E643" t="str">
        <x:v>Electronics</x:v>
      </x:c>
      <x:c r="F643" t="str">
        <x:v>Scotland</x:v>
      </x:c>
      <x:c r="G643" t="str">
        <x:v>Online</x:v>
      </x:c>
      <x:c r="H643" t="str">
        <x:v>Completed</x:v>
      </x:c>
      <x:c r="I643" t="n">
        <x:v>1</x:v>
      </x:c>
      <x:c r="J643" s="12" t="n">
        <x:v>278.49</x:v>
      </x:c>
      <x:c r="K643" s="12" t="n">
        <x:v>172.9</x:v>
      </x:c>
      <x:c r="L643" s="14" t="n">
        <x:v>0.15</x:v>
      </x:c>
      <x:c r="M643" s="12" t="n">
        <x:f>IF(H643="Completed",I643*J643*(1-L643),0)</x:f>
        <x:v>236.7165</x:v>
      </x:c>
      <x:c r="N643" s="12" t="n">
        <x:f>IF(H643="Completed",I643*K643,0)</x:f>
        <x:v>172.9</x:v>
      </x:c>
      <x:c r="O643" s="12" t="n">
        <x:f>M643-N643</x:f>
        <x:v>63.81649999999999</x:v>
      </x:c>
      <x:c r="P643" s="16" t="n">
        <x:f>IFERROR(O643/M643,0)</x:f>
        <x:v>0.2695904172290482</x:v>
      </x:c>
      <x:c r="Q643" t="n">
        <x:f>YEAR(B643)</x:f>
        <x:v>2025</x:v>
      </x:c>
      <x:c r="R643" t="str">
        <x:f>TEXT(B643,"yyyy-mm")</x:f>
        <x:v>2025-10</x:v>
      </x:c>
    </x:row>
    <x:row r="644">
      <x:c r="A644" t="n">
        <x:v>10301</x:v>
      </x:c>
      <x:c r="B644" s="10" t="n">
        <x:v>45946</x:v>
      </x:c>
      <x:c r="C644" t="str">
        <x:v>P006</x:v>
      </x:c>
      <x:c r="D644" t="str">
        <x:v>Chair</x:v>
      </x:c>
      <x:c r="E644" t="str">
        <x:v>Furniture</x:v>
      </x:c>
      <x:c r="F644" t="str">
        <x:v>South</x:v>
      </x:c>
      <x:c r="G644" t="str">
        <x:v>Retail</x:v>
      </x:c>
      <x:c r="H644" t="str">
        <x:v>Completed</x:v>
      </x:c>
      <x:c r="I644" t="n">
        <x:v>4</x:v>
      </x:c>
      <x:c r="J644" s="12" t="n">
        <x:v>138.94</x:v>
      </x:c>
      <x:c r="K644" s="12" t="n">
        <x:v>68.74</x:v>
      </x:c>
      <x:c r="L644" s="14" t="n">
        <x:v>0</x:v>
      </x:c>
      <x:c r="M644" s="12" t="n">
        <x:f>IF(H644="Completed",I644*J644*(1-L644),0)</x:f>
        <x:v>555.76</x:v>
      </x:c>
      <x:c r="N644" s="12" t="n">
        <x:f>IF(H644="Completed",I644*K644,0)</x:f>
        <x:v>274.96</x:v>
      </x:c>
      <x:c r="O644" s="12" t="n">
        <x:f>M644-N644</x:f>
        <x:v>280.8</x:v>
      </x:c>
      <x:c r="P644" s="16" t="n">
        <x:f>IFERROR(O644/M644,0)</x:f>
        <x:v>0.5052540665035268</x:v>
      </x:c>
      <x:c r="Q644" t="n">
        <x:f>YEAR(B644)</x:f>
        <x:v>2025</x:v>
      </x:c>
      <x:c r="R644" t="str">
        <x:f>TEXT(B644,"yyyy-mm")</x:f>
        <x:v>2025-10</x:v>
      </x:c>
    </x:row>
    <x:row r="645">
      <x:c r="A645" t="n">
        <x:v>10045</x:v>
      </x:c>
      <x:c r="B645" s="10" t="n">
        <x:v>45948</x:v>
      </x:c>
      <x:c r="C645" t="str">
        <x:v>P007</x:v>
      </x:c>
      <x:c r="D645" t="str">
        <x:v>Headset</x:v>
      </x:c>
      <x:c r="E645" t="str">
        <x:v>Accessories</x:v>
      </x:c>
      <x:c r="F645" t="str">
        <x:v>Wales</x:v>
      </x:c>
      <x:c r="G645" t="str">
        <x:v>Online</x:v>
      </x:c>
      <x:c r="H645" t="str">
        <x:v>Completed</x:v>
      </x:c>
      <x:c r="I645" t="n">
        <x:v>3</x:v>
      </x:c>
      <x:c r="J645" s="12" t="n">
        <x:v>72.77</x:v>
      </x:c>
      <x:c r="K645" s="12" t="n">
        <x:v>36.02</x:v>
      </x:c>
      <x:c r="L645" s="14" t="n">
        <x:v>0</x:v>
      </x:c>
      <x:c r="M645" s="12" t="n">
        <x:f>IF(H645="Completed",I645*J645*(1-L645),0)</x:f>
        <x:v>218.31</x:v>
      </x:c>
      <x:c r="N645" s="12" t="n">
        <x:f>IF(H645="Completed",I645*K645,0)</x:f>
        <x:v>108.06</x:v>
      </x:c>
      <x:c r="O645" s="12" t="n">
        <x:f>M645-N645</x:f>
        <x:v>110.25</x:v>
      </x:c>
      <x:c r="P645" s="16" t="n">
        <x:f>IFERROR(O645/M645,0)</x:f>
        <x:v>0.5050158032156108</x:v>
      </x:c>
      <x:c r="Q645" t="n">
        <x:f>YEAR(B645)</x:f>
        <x:v>2025</x:v>
      </x:c>
      <x:c r="R645" t="str">
        <x:f>TEXT(B645,"yyyy-mm")</x:f>
        <x:v>2025-10</x:v>
      </x:c>
    </x:row>
    <x:row r="646">
      <x:c r="A646" t="n">
        <x:v>10687</x:v>
      </x:c>
      <x:c r="B646" s="10" t="n">
        <x:v>45950</x:v>
      </x:c>
      <x:c r="C646" t="str">
        <x:v>P002</x:v>
      </x:c>
      <x:c r="D646" t="str">
        <x:v>Monitor</x:v>
      </x:c>
      <x:c r="E646" t="str">
        <x:v>Electronics</x:v>
      </x:c>
      <x:c r="F646" t="str">
        <x:v>South</x:v>
      </x:c>
      <x:c r="G646" t="str">
        <x:v>Online</x:v>
      </x:c>
      <x:c r="H646" t="str">
        <x:v>Completed</x:v>
      </x:c>
      <x:c r="I646" t="n">
        <x:v>4</x:v>
      </x:c>
      <x:c r="J646" s="12" t="n">
        <x:v>287.85</x:v>
      </x:c>
      <x:c r="K646" s="12" t="n">
        <x:v>168.73</x:v>
      </x:c>
      <x:c r="L646" s="14" t="n">
        <x:v>0</x:v>
      </x:c>
      <x:c r="M646" s="12" t="n">
        <x:f>IF(H646="Completed",I646*J646*(1-L646),0)</x:f>
        <x:v>1151.4</x:v>
      </x:c>
      <x:c r="N646" s="12" t="n">
        <x:f>IF(H646="Completed",I646*K646,0)</x:f>
        <x:v>674.92</x:v>
      </x:c>
      <x:c r="O646" s="12" t="n">
        <x:f>M646-N646</x:f>
        <x:v>476.48000000000013</x:v>
      </x:c>
      <x:c r="P646" s="16" t="n">
        <x:f>IFERROR(O646/M646,0)</x:f>
        <x:v>0.4138266458224771</x:v>
      </x:c>
      <x:c r="Q646" t="n">
        <x:f>YEAR(B646)</x:f>
        <x:v>2025</x:v>
      </x:c>
      <x:c r="R646" t="str">
        <x:f>TEXT(B646,"yyyy-mm")</x:f>
        <x:v>2025-10</x:v>
      </x:c>
    </x:row>
    <x:row r="647">
      <x:c r="A647" t="n">
        <x:v>10775</x:v>
      </x:c>
      <x:c r="B647" s="10" t="n">
        <x:v>45951</x:v>
      </x:c>
      <x:c r="C647" t="str">
        <x:v>P007</x:v>
      </x:c>
      <x:c r="D647" t="str">
        <x:v>Headset</x:v>
      </x:c>
      <x:c r="E647" t="str">
        <x:v>Accessories</x:v>
      </x:c>
      <x:c r="F647" t="str">
        <x:v>South</x:v>
      </x:c>
      <x:c r="G647" t="str">
        <x:v>Retail</x:v>
      </x:c>
      <x:c r="H647" t="str">
        <x:v>Completed</x:v>
      </x:c>
      <x:c r="I647" t="n">
        <x:v>3</x:v>
      </x:c>
      <x:c r="J647" s="12" t="n">
        <x:v>72.42</x:v>
      </x:c>
      <x:c r="K647" s="12" t="n">
        <x:v>34.56</x:v>
      </x:c>
      <x:c r="L647" s="14" t="n">
        <x:v>0.05</x:v>
      </x:c>
      <x:c r="M647" s="12" t="n">
        <x:f>IF(H647="Completed",I647*J647*(1-L647),0)</x:f>
        <x:v>206.397</x:v>
      </x:c>
      <x:c r="N647" s="12" t="n">
        <x:f>IF(H647="Completed",I647*K647,0)</x:f>
        <x:v>103.68</x:v>
      </x:c>
      <x:c r="O647" s="12" t="n">
        <x:f>M647-N647</x:f>
        <x:v>102.71699999999998</x:v>
      </x:c>
      <x:c r="P647" s="16" t="n">
        <x:f>IFERROR(O647/M647,0)</x:f>
        <x:v>0.4976671172546112</x:v>
      </x:c>
      <x:c r="Q647" t="n">
        <x:f>YEAR(B647)</x:f>
        <x:v>2025</x:v>
      </x:c>
      <x:c r="R647" t="str">
        <x:f>TEXT(B647,"yyyy-mm")</x:f>
        <x:v>2025-10</x:v>
      </x:c>
    </x:row>
    <x:row r="648">
      <x:c r="A648" t="n">
        <x:v>10808</x:v>
      </x:c>
      <x:c r="B648" s="10" t="n">
        <x:v>45951</x:v>
      </x:c>
      <x:c r="C648" t="str">
        <x:v>P007</x:v>
      </x:c>
      <x:c r="D648" t="str">
        <x:v>Headset</x:v>
      </x:c>
      <x:c r="E648" t="str">
        <x:v>Accessories</x:v>
      </x:c>
      <x:c r="F648" t="str">
        <x:v>Midlands</x:v>
      </x:c>
      <x:c r="G648" t="str">
        <x:v>Online</x:v>
      </x:c>
      <x:c r="H648" t="str">
        <x:v>Completed</x:v>
      </x:c>
      <x:c r="I648" t="n">
        <x:v>1</x:v>
      </x:c>
      <x:c r="J648" s="12" t="n">
        <x:v>73.55</x:v>
      </x:c>
      <x:c r="K648" s="12" t="n">
        <x:v>35.92</x:v>
      </x:c>
      <x:c r="L648" s="14" t="n">
        <x:v>0.05</x:v>
      </x:c>
      <x:c r="M648" s="12" t="n">
        <x:f>IF(H648="Completed",I648*J648*(1-L648),0)</x:f>
        <x:v>69.87249999999999</x:v>
      </x:c>
      <x:c r="N648" s="12" t="n">
        <x:f>IF(H648="Completed",I648*K648,0)</x:f>
        <x:v>35.92</x:v>
      </x:c>
      <x:c r="O648" s="12" t="n">
        <x:f>M648-N648</x:f>
        <x:v>33.952499999999986</x:v>
      </x:c>
      <x:c r="P648" s="16" t="n">
        <x:f>IFERROR(O648/M648,0)</x:f>
        <x:v>0.48592078428566304</x:v>
      </x:c>
      <x:c r="Q648" t="n">
        <x:f>YEAR(B648)</x:f>
        <x:v>2025</x:v>
      </x:c>
      <x:c r="R648" t="str">
        <x:f>TEXT(B648,"yyyy-mm")</x:f>
        <x:v>2025-10</x:v>
      </x:c>
    </x:row>
    <x:row r="649">
      <x:c r="A649" t="n">
        <x:v>10948</x:v>
      </x:c>
      <x:c r="B649" s="10" t="n">
        <x:v>45951</x:v>
      </x:c>
      <x:c r="C649" t="str">
        <x:v>P002</x:v>
      </x:c>
      <x:c r="D649" t="str">
        <x:v>Monitor</x:v>
      </x:c>
      <x:c r="E649" t="str">
        <x:v>Electronics</x:v>
      </x:c>
      <x:c r="F649" t="str">
        <x:v>Wales</x:v>
      </x:c>
      <x:c r="G649" t="str">
        <x:v>Online</x:v>
      </x:c>
      <x:c r="H649" t="str">
        <x:v>Completed</x:v>
      </x:c>
      <x:c r="I649" t="n">
        <x:v>3</x:v>
      </x:c>
      <x:c r="J649" s="12" t="n">
        <x:v>277.21</x:v>
      </x:c>
      <x:c r="K649" s="12" t="n">
        <x:v>168.3</x:v>
      </x:c>
      <x:c r="L649" s="14" t="n">
        <x:v>0</x:v>
      </x:c>
      <x:c r="M649" s="12" t="n">
        <x:f>IF(H649="Completed",I649*J649*(1-L649),0)</x:f>
        <x:v>831.6299999999999</x:v>
      </x:c>
      <x:c r="N649" s="12" t="n">
        <x:f>IF(H649="Completed",I649*K649,0)</x:f>
        <x:v>504.90000000000003</x:v>
      </x:c>
      <x:c r="O649" s="12" t="n">
        <x:f>M649-N649</x:f>
        <x:v>326.72999999999985</x:v>
      </x:c>
      <x:c r="P649" s="16" t="n">
        <x:f>IFERROR(O649/M649,0)</x:f>
        <x:v>0.3928790447675046</x:v>
      </x:c>
      <x:c r="Q649" t="n">
        <x:f>YEAR(B649)</x:f>
        <x:v>2025</x:v>
      </x:c>
      <x:c r="R649" t="str">
        <x:f>TEXT(B649,"yyyy-mm")</x:f>
        <x:v>2025-10</x:v>
      </x:c>
    </x:row>
    <x:row r="650">
      <x:c r="A650" t="n">
        <x:v>10403</x:v>
      </x:c>
      <x:c r="B650" s="10" t="n">
        <x:v>45954</x:v>
      </x:c>
      <x:c r="C650" t="str">
        <x:v>P003</x:v>
      </x:c>
      <x:c r="D650" t="str">
        <x:v>Keyboard</x:v>
      </x:c>
      <x:c r="E650" t="str">
        <x:v>Accessories</x:v>
      </x:c>
      <x:c r="F650" t="str">
        <x:v>North</x:v>
      </x:c>
      <x:c r="G650" t="str">
        <x:v>Retail</x:v>
      </x:c>
      <x:c r="H650" t="str">
        <x:v>Completed</x:v>
      </x:c>
      <x:c r="I650" t="n">
        <x:v>1</x:v>
      </x:c>
      <x:c r="J650" s="12" t="n">
        <x:v>50.85</x:v>
      </x:c>
      <x:c r="K650" s="12" t="n">
        <x:v>26.32</x:v>
      </x:c>
      <x:c r="L650" s="14" t="n">
        <x:v>0.15</x:v>
      </x:c>
      <x:c r="M650" s="12" t="n">
        <x:f>IF(H650="Completed",I650*J650*(1-L650),0)</x:f>
        <x:v>43.2225</x:v>
      </x:c>
      <x:c r="N650" s="12" t="n">
        <x:f>IF(H650="Completed",I650*K650,0)</x:f>
        <x:v>26.32</x:v>
      </x:c>
      <x:c r="O650" s="12" t="n">
        <x:f>M650-N650</x:f>
        <x:v>16.902499999999996</x:v>
      </x:c>
      <x:c r="P650" s="16" t="n">
        <x:f>IFERROR(O650/M650,0)</x:f>
        <x:v>0.39105789808548785</x:v>
      </x:c>
      <x:c r="Q650" t="n">
        <x:f>YEAR(B650)</x:f>
        <x:v>2025</x:v>
      </x:c>
      <x:c r="R650" t="str">
        <x:f>TEXT(B650,"yyyy-mm")</x:f>
        <x:v>2025-10</x:v>
      </x:c>
    </x:row>
    <x:row r="651">
      <x:c r="A651" t="n">
        <x:v>10596</x:v>
      </x:c>
      <x:c r="B651" s="10" t="n">
        <x:v>45956</x:v>
      </x:c>
      <x:c r="C651" t="str">
        <x:v>P007</x:v>
      </x:c>
      <x:c r="D651" t="str">
        <x:v>Headset</x:v>
      </x:c>
      <x:c r="E651" t="str">
        <x:v>Accessories</x:v>
      </x:c>
      <x:c r="F651" t="str">
        <x:v>Wales</x:v>
      </x:c>
      <x:c r="G651" t="str">
        <x:v>Online</x:v>
      </x:c>
      <x:c r="H651" t="str">
        <x:v>Completed</x:v>
      </x:c>
      <x:c r="I651" t="n">
        <x:v>2</x:v>
      </x:c>
      <x:c r="J651" s="12" t="n">
        <x:v>72.28</x:v>
      </x:c>
      <x:c r="K651" s="12" t="n">
        <x:v>35.34</x:v>
      </x:c>
      <x:c r="L651" s="14" t="n">
        <x:v>0</x:v>
      </x:c>
      <x:c r="M651" s="12" t="n">
        <x:f>IF(H651="Completed",I651*J651*(1-L651),0)</x:f>
        <x:v>144.56</x:v>
      </x:c>
      <x:c r="N651" s="12" t="n">
        <x:f>IF(H651="Completed",I651*K651,0)</x:f>
        <x:v>70.68</x:v>
      </x:c>
      <x:c r="O651" s="12" t="n">
        <x:f>M651-N651</x:f>
        <x:v>73.88</x:v>
      </x:c>
      <x:c r="P651" s="16" t="n">
        <x:f>IFERROR(O651/M651,0)</x:f>
        <x:v>0.5110680686220254</x:v>
      </x:c>
      <x:c r="Q651" t="n">
        <x:f>YEAR(B651)</x:f>
        <x:v>2025</x:v>
      </x:c>
      <x:c r="R651" t="str">
        <x:f>TEXT(B651,"yyyy-mm")</x:f>
        <x:v>2025-10</x:v>
      </x:c>
    </x:row>
    <x:row r="652">
      <x:c r="A652" t="n">
        <x:v>10616</x:v>
      </x:c>
      <x:c r="B652" s="10" t="n">
        <x:v>45956</x:v>
      </x:c>
      <x:c r="C652" t="str">
        <x:v>P003</x:v>
      </x:c>
      <x:c r="D652" t="str">
        <x:v>Keyboard</x:v>
      </x:c>
      <x:c r="E652" t="str">
        <x:v>Accessories</x:v>
      </x:c>
      <x:c r="F652" t="str">
        <x:v>North</x:v>
      </x:c>
      <x:c r="G652" t="str">
        <x:v>Retail</x:v>
      </x:c>
      <x:c r="H652" t="str">
        <x:v>Completed</x:v>
      </x:c>
      <x:c r="I652" t="n">
        <x:v>1</x:v>
      </x:c>
      <x:c r="J652" s="12" t="n">
        <x:v>49.33</x:v>
      </x:c>
      <x:c r="K652" s="12" t="n">
        <x:v>25.98</x:v>
      </x:c>
      <x:c r="L652" s="14" t="n">
        <x:v>0</x:v>
      </x:c>
      <x:c r="M652" s="12" t="n">
        <x:f>IF(H652="Completed",I652*J652*(1-L652),0)</x:f>
        <x:v>49.33</x:v>
      </x:c>
      <x:c r="N652" s="12" t="n">
        <x:f>IF(H652="Completed",I652*K652,0)</x:f>
        <x:v>25.98</x:v>
      </x:c>
      <x:c r="O652" s="12" t="n">
        <x:f>M652-N652</x:f>
        <x:v>23.349999999999998</x:v>
      </x:c>
      <x:c r="P652" s="16" t="n">
        <x:f>IFERROR(O652/M652,0)</x:f>
        <x:v>0.4733427934319886</x:v>
      </x:c>
      <x:c r="Q652" t="n">
        <x:f>YEAR(B652)</x:f>
        <x:v>2025</x:v>
      </x:c>
      <x:c r="R652" t="str">
        <x:f>TEXT(B652,"yyyy-mm")</x:f>
        <x:v>2025-10</x:v>
      </x:c>
    </x:row>
    <x:row r="653">
      <x:c r="A653" t="n">
        <x:v>10908</x:v>
      </x:c>
      <x:c r="B653" s="10" t="n">
        <x:v>45956</x:v>
      </x:c>
      <x:c r="C653" t="str">
        <x:v>P002</x:v>
      </x:c>
      <x:c r="D653" t="str">
        <x:v>Monitor</x:v>
      </x:c>
      <x:c r="E653" t="str">
        <x:v>Electronics</x:v>
      </x:c>
      <x:c r="F653" t="str">
        <x:v>Wales</x:v>
      </x:c>
      <x:c r="G653" t="str">
        <x:v>Retail</x:v>
      </x:c>
      <x:c r="H653" t="str">
        <x:v>Completed</x:v>
      </x:c>
      <x:c r="I653" t="n">
        <x:v>1</x:v>
      </x:c>
      <x:c r="J653" s="12" t="n">
        <x:v>278.91</x:v>
      </x:c>
      <x:c r="K653" s="12" t="n">
        <x:v>174.86</x:v>
      </x:c>
      <x:c r="L653" s="14" t="n">
        <x:v>0.15</x:v>
      </x:c>
      <x:c r="M653" s="12" t="n">
        <x:f>IF(H653="Completed",I653*J653*(1-L653),0)</x:f>
        <x:v>237.07350000000002</x:v>
      </x:c>
      <x:c r="N653" s="12" t="n">
        <x:f>IF(H653="Completed",I653*K653,0)</x:f>
        <x:v>174.86</x:v>
      </x:c>
      <x:c r="O653" s="12" t="n">
        <x:f>M653-N653</x:f>
        <x:v>62.21350000000001</x:v>
      </x:c>
      <x:c r="P653" s="16" t="n">
        <x:f>IFERROR(O653/M653,0)</x:f>
        <x:v>0.2624228351123175</x:v>
      </x:c>
      <x:c r="Q653" t="n">
        <x:f>YEAR(B653)</x:f>
        <x:v>2025</x:v>
      </x:c>
      <x:c r="R653" t="str">
        <x:f>TEXT(B653,"yyyy-mm")</x:f>
        <x:v>2025-10</x:v>
      </x:c>
    </x:row>
    <x:row r="654">
      <x:c r="A654" t="n">
        <x:v>10067</x:v>
      </x:c>
      <x:c r="B654" s="10" t="n">
        <x:v>45957</x:v>
      </x:c>
      <x:c r="C654" t="str">
        <x:v>P002</x:v>
      </x:c>
      <x:c r="D654" t="str">
        <x:v>Monitor</x:v>
      </x:c>
      <x:c r="E654" t="str">
        <x:v>Electronics</x:v>
      </x:c>
      <x:c r="F654" t="str">
        <x:v>Scotland</x:v>
      </x:c>
      <x:c r="G654" t="str">
        <x:v>Partner</x:v>
      </x:c>
      <x:c r="H654" t="str">
        <x:v>Completed</x:v>
      </x:c>
      <x:c r="I654" t="n">
        <x:v>1</x:v>
      </x:c>
      <x:c r="J654" s="12" t="n">
        <x:v>288.85</x:v>
      </x:c>
      <x:c r="K654" s="12" t="n">
        <x:v>168.63</x:v>
      </x:c>
      <x:c r="L654" s="14" t="n">
        <x:v>0</x:v>
      </x:c>
      <x:c r="M654" s="12" t="n">
        <x:f>IF(H654="Completed",I654*J654*(1-L654),0)</x:f>
        <x:v>288.85</x:v>
      </x:c>
      <x:c r="N654" s="12" t="n">
        <x:f>IF(H654="Completed",I654*K654,0)</x:f>
        <x:v>168.63</x:v>
      </x:c>
      <x:c r="O654" s="12" t="n">
        <x:f>M654-N654</x:f>
        <x:v>120.22000000000003</x:v>
      </x:c>
      <x:c r="P654" s="16" t="n">
        <x:f>IFERROR(O654/M654,0)</x:f>
        <x:v>0.41620218106283546</x:v>
      </x:c>
      <x:c r="Q654" t="n">
        <x:f>YEAR(B654)</x:f>
        <x:v>2025</x:v>
      </x:c>
      <x:c r="R654" t="str">
        <x:f>TEXT(B654,"yyyy-mm")</x:f>
        <x:v>2025-10</x:v>
      </x:c>
    </x:row>
    <x:row r="655">
      <x:c r="A655" t="n">
        <x:v>10334</x:v>
      </x:c>
      <x:c r="B655" s="10" t="n">
        <x:v>45957</x:v>
      </x:c>
      <x:c r="C655" t="str">
        <x:v>P002</x:v>
      </x:c>
      <x:c r="D655" t="str">
        <x:v>Monitor</x:v>
      </x:c>
      <x:c r="E655" t="str">
        <x:v>Electronics</x:v>
      </x:c>
      <x:c r="F655" t="str">
        <x:v>South</x:v>
      </x:c>
      <x:c r="G655" t="str">
        <x:v>Retail</x:v>
      </x:c>
      <x:c r="H655" t="str">
        <x:v>Completed</x:v>
      </x:c>
      <x:c r="I655" t="n">
        <x:v>3</x:v>
      </x:c>
      <x:c r="J655" s="12" t="n">
        <x:v>281.33</x:v>
      </x:c>
      <x:c r="K655" s="12" t="n">
        <x:v>174.46</x:v>
      </x:c>
      <x:c r="L655" s="14" t="n">
        <x:v>0</x:v>
      </x:c>
      <x:c r="M655" s="12" t="n">
        <x:f>IF(H655="Completed",I655*J655*(1-L655),0)</x:f>
        <x:v>843.99</x:v>
      </x:c>
      <x:c r="N655" s="12" t="n">
        <x:f>IF(H655="Completed",I655*K655,0)</x:f>
        <x:v>523.38</x:v>
      </x:c>
      <x:c r="O655" s="12" t="n">
        <x:f>M655-N655</x:f>
        <x:v>320.61</x:v>
      </x:c>
      <x:c r="P655" s="16" t="n">
        <x:f>IFERROR(O655/M655,0)</x:f>
        <x:v>0.3798741691252266</x:v>
      </x:c>
      <x:c r="Q655" t="n">
        <x:f>YEAR(B655)</x:f>
        <x:v>2025</x:v>
      </x:c>
      <x:c r="R655" t="str">
        <x:f>TEXT(B655,"yyyy-mm")</x:f>
        <x:v>2025-10</x:v>
      </x:c>
    </x:row>
    <x:row r="656">
      <x:c r="A656" t="n">
        <x:v>10105</x:v>
      </x:c>
      <x:c r="B656" s="10" t="n">
        <x:v>45959</x:v>
      </x:c>
      <x:c r="C656" t="str">
        <x:v>P003</x:v>
      </x:c>
      <x:c r="D656" t="str">
        <x:v>Keyboard</x:v>
      </x:c>
      <x:c r="E656" t="str">
        <x:v>Accessories</x:v>
      </x:c>
      <x:c r="F656" t="str">
        <x:v>Wales</x:v>
      </x:c>
      <x:c r="G656" t="str">
        <x:v>Online</x:v>
      </x:c>
      <x:c r="H656" t="str">
        <x:v>Cancelled</x:v>
      </x:c>
      <x:c r="I656" t="n">
        <x:v>4</x:v>
      </x:c>
      <x:c r="J656" s="12" t="n">
        <x:v>50.51</x:v>
      </x:c>
      <x:c r="K656" s="12" t="n">
        <x:v>26.62</x:v>
      </x:c>
      <x:c r="L656" s="14" t="n">
        <x:v>0</x:v>
      </x:c>
      <x:c r="M656" s="12" t="n">
        <x:f>IF(H656="Completed",I656*J656*(1-L656),0)</x:f>
        <x:v>0</x:v>
      </x:c>
      <x:c r="N656" s="12" t="n">
        <x:f>IF(H656="Completed",I656*K656,0)</x:f>
        <x:v>0</x:v>
      </x:c>
      <x:c r="O656" s="12" t="n">
        <x:f>M656-N656</x:f>
        <x:v>0</x:v>
      </x:c>
      <x:c r="P656" s="16" t="n">
        <x:f>IFERROR(O656/M656,0)</x:f>
        <x:v>0</x:v>
      </x:c>
      <x:c r="Q656" t="n">
        <x:f>YEAR(B656)</x:f>
        <x:v>2025</x:v>
      </x:c>
      <x:c r="R656" t="str">
        <x:f>TEXT(B656,"yyyy-mm")</x:f>
        <x:v>2025-10</x:v>
      </x:c>
    </x:row>
    <x:row r="657">
      <x:c r="A657" t="n">
        <x:v>10228</x:v>
      </x:c>
      <x:c r="B657" s="10" t="n">
        <x:v>45960</x:v>
      </x:c>
      <x:c r="C657" t="str">
        <x:v>P008</x:v>
      </x:c>
      <x:c r="D657" t="str">
        <x:v>Webcam</x:v>
      </x:c>
      <x:c r="E657" t="str">
        <x:v>Electronics</x:v>
      </x:c>
      <x:c r="F657" t="str">
        <x:v>South</x:v>
      </x:c>
      <x:c r="G657" t="str">
        <x:v>Retail</x:v>
      </x:c>
      <x:c r="H657" t="str">
        <x:v>Completed</x:v>
      </x:c>
      <x:c r="I657" t="n">
        <x:v>4</x:v>
      </x:c>
      <x:c r="J657" s="12" t="n">
        <x:v>88.11</x:v>
      </x:c>
      <x:c r="K657" s="12" t="n">
        <x:v>41.28</x:v>
      </x:c>
      <x:c r="L657" s="14" t="n">
        <x:v>0</x:v>
      </x:c>
      <x:c r="M657" s="12" t="n">
        <x:f>IF(H657="Completed",I657*J657*(1-L657),0)</x:f>
        <x:v>352.44</x:v>
      </x:c>
      <x:c r="N657" s="12" t="n">
        <x:f>IF(H657="Completed",I657*K657,0)</x:f>
        <x:v>165.12</x:v>
      </x:c>
      <x:c r="O657" s="12" t="n">
        <x:f>M657-N657</x:f>
        <x:v>187.32</x:v>
      </x:c>
      <x:c r="P657" s="16" t="n">
        <x:f>IFERROR(O657/M657,0)</x:f>
        <x:v>0.5314947225059584</x:v>
      </x:c>
      <x:c r="Q657" t="n">
        <x:f>YEAR(B657)</x:f>
        <x:v>2025</x:v>
      </x:c>
      <x:c r="R657" t="str">
        <x:f>TEXT(B657,"yyyy-mm")</x:f>
        <x:v>2025-10</x:v>
      </x:c>
    </x:row>
    <x:row r="658">
      <x:c r="A658" t="n">
        <x:v>10210</x:v>
      </x:c>
      <x:c r="B658" s="10" t="n">
        <x:v>45961</x:v>
      </x:c>
      <x:c r="C658" t="str">
        <x:v>P008</x:v>
      </x:c>
      <x:c r="D658" t="str">
        <x:v>Webcam</x:v>
      </x:c>
      <x:c r="E658" t="str">
        <x:v>Electronics</x:v>
      </x:c>
      <x:c r="F658" t="str">
        <x:v>South</x:v>
      </x:c>
      <x:c r="G658" t="str">
        <x:v>Retail</x:v>
      </x:c>
      <x:c r="H658" t="str">
        <x:v>Completed</x:v>
      </x:c>
      <x:c r="I658" t="n">
        <x:v>3</x:v>
      </x:c>
      <x:c r="J658" s="12" t="n">
        <x:v>91.83</x:v>
      </x:c>
      <x:c r="K658" s="12" t="n">
        <x:v>42.69</x:v>
      </x:c>
      <x:c r="L658" s="14" t="n">
        <x:v>0</x:v>
      </x:c>
      <x:c r="M658" s="12" t="n">
        <x:f>IF(H658="Completed",I658*J658*(1-L658),0)</x:f>
        <x:v>275.49</x:v>
      </x:c>
      <x:c r="N658" s="12" t="n">
        <x:f>IF(H658="Completed",I658*K658,0)</x:f>
        <x:v>128.07</x:v>
      </x:c>
      <x:c r="O658" s="12" t="n">
        <x:f>M658-N658</x:f>
        <x:v>147.42000000000002</x:v>
      </x:c>
      <x:c r="P658" s="16" t="n">
        <x:f>IFERROR(O658/M658,0)</x:f>
        <x:v>0.5351192420777524</x:v>
      </x:c>
      <x:c r="Q658" t="n">
        <x:f>YEAR(B658)</x:f>
        <x:v>2025</x:v>
      </x:c>
      <x:c r="R658" t="str">
        <x:f>TEXT(B658,"yyyy-mm")</x:f>
        <x:v>2025-10</x:v>
      </x:c>
    </x:row>
    <x:row r="659">
      <x:c r="A659" t="n">
        <x:v>10184</x:v>
      </x:c>
      <x:c r="B659" s="10" t="n">
        <x:v>45963</x:v>
      </x:c>
      <x:c r="C659" t="str">
        <x:v>P006</x:v>
      </x:c>
      <x:c r="D659" t="str">
        <x:v>Chair</x:v>
      </x:c>
      <x:c r="E659" t="str">
        <x:v>Furniture</x:v>
      </x:c>
      <x:c r="F659" t="str">
        <x:v>North</x:v>
      </x:c>
      <x:c r="G659" t="str">
        <x:v>Online</x:v>
      </x:c>
      <x:c r="H659" t="str">
        <x:v>Completed</x:v>
      </x:c>
      <x:c r="I659" t="n">
        <x:v>3</x:v>
      </x:c>
      <x:c r="J659" s="12" t="n">
        <x:v>135.11</x:v>
      </x:c>
      <x:c r="K659" s="12" t="n">
        <x:v>69.89</x:v>
      </x:c>
      <x:c r="L659" s="14" t="n">
        <x:v>0.15</x:v>
      </x:c>
      <x:c r="M659" s="12" t="n">
        <x:f>IF(H659="Completed",I659*J659*(1-L659),0)</x:f>
        <x:v>344.5305</x:v>
      </x:c>
      <x:c r="N659" s="12" t="n">
        <x:f>IF(H659="Completed",I659*K659,0)</x:f>
        <x:v>209.67000000000002</x:v>
      </x:c>
      <x:c r="O659" s="12" t="n">
        <x:f>M659-N659</x:f>
        <x:v>134.8605</x:v>
      </x:c>
      <x:c r="P659" s="16" t="n">
        <x:f>IFERROR(O659/M659,0)</x:f>
        <x:v>0.3914326888330641</x:v>
      </x:c>
      <x:c r="Q659" t="n">
        <x:f>YEAR(B659)</x:f>
        <x:v>2025</x:v>
      </x:c>
      <x:c r="R659" t="str">
        <x:f>TEXT(B659,"yyyy-mm")</x:f>
        <x:v>2025-11</x:v>
      </x:c>
    </x:row>
    <x:row r="660">
      <x:c r="A660" t="n">
        <x:v>10833</x:v>
      </x:c>
      <x:c r="B660" s="10" t="n">
        <x:v>45965</x:v>
      </x:c>
      <x:c r="C660" t="str">
        <x:v>P001</x:v>
      </x:c>
      <x:c r="D660" t="str">
        <x:v>Laptop</x:v>
      </x:c>
      <x:c r="E660" t="str">
        <x:v>Electronics</x:v>
      </x:c>
      <x:c r="F660" t="str">
        <x:v>Wales</x:v>
      </x:c>
      <x:c r="G660" t="str">
        <x:v>Retail</x:v>
      </x:c>
      <x:c r="H660" t="str">
        <x:v>Completed</x:v>
      </x:c>
      <x:c r="I660" t="n">
        <x:v>3</x:v>
      </x:c>
      <x:c r="J660" s="12" t="n">
        <x:v>953.41</x:v>
      </x:c>
      <x:c r="K660" s="12" t="n">
        <x:v>638.59</x:v>
      </x:c>
      <x:c r="L660" s="14" t="n">
        <x:v>0</x:v>
      </x:c>
      <x:c r="M660" s="12" t="n">
        <x:f>IF(H660="Completed",I660*J660*(1-L660),0)</x:f>
        <x:v>2860.23</x:v>
      </x:c>
      <x:c r="N660" s="12" t="n">
        <x:f>IF(H660="Completed",I660*K660,0)</x:f>
        <x:v>1915.77</x:v>
      </x:c>
      <x:c r="O660" s="12" t="n">
        <x:f>M660-N660</x:f>
        <x:v>944.46</x:v>
      </x:c>
      <x:c r="P660" s="16" t="n">
        <x:f>IFERROR(O660/M660,0)</x:f>
        <x:v>0.33020421434639874</x:v>
      </x:c>
      <x:c r="Q660" t="n">
        <x:f>YEAR(B660)</x:f>
        <x:v>2025</x:v>
      </x:c>
      <x:c r="R660" t="str">
        <x:f>TEXT(B660,"yyyy-mm")</x:f>
        <x:v>2025-11</x:v>
      </x:c>
    </x:row>
    <x:row r="661">
      <x:c r="A661" t="n">
        <x:v>10448</x:v>
      </x:c>
      <x:c r="B661" s="10" t="n">
        <x:v>45966</x:v>
      </x:c>
      <x:c r="C661" t="str">
        <x:v>P003</x:v>
      </x:c>
      <x:c r="D661" t="str">
        <x:v>Keyboard</x:v>
      </x:c>
      <x:c r="E661" t="str">
        <x:v>Accessories</x:v>
      </x:c>
      <x:c r="F661" t="str">
        <x:v>North</x:v>
      </x:c>
      <x:c r="G661" t="str">
        <x:v>Retail</x:v>
      </x:c>
      <x:c r="H661" t="str">
        <x:v>Cancelled</x:v>
      </x:c>
      <x:c r="I661" t="n">
        <x:v>4</x:v>
      </x:c>
      <x:c r="J661" s="12" t="n">
        <x:v>50.41</x:v>
      </x:c>
      <x:c r="K661" s="12" t="n">
        <x:v>26.11</x:v>
      </x:c>
      <x:c r="L661" s="14" t="n">
        <x:v>0.05</x:v>
      </x:c>
      <x:c r="M661" s="12" t="n">
        <x:f>IF(H661="Completed",I661*J661*(1-L661),0)</x:f>
        <x:v>0</x:v>
      </x:c>
      <x:c r="N661" s="12" t="n">
        <x:f>IF(H661="Completed",I661*K661,0)</x:f>
        <x:v>0</x:v>
      </x:c>
      <x:c r="O661" s="12" t="n">
        <x:f>M661-N661</x:f>
        <x:v>0</x:v>
      </x:c>
      <x:c r="P661" s="16" t="n">
        <x:f>IFERROR(O661/M661,0)</x:f>
        <x:v>0</x:v>
      </x:c>
      <x:c r="Q661" t="n">
        <x:f>YEAR(B661)</x:f>
        <x:v>2025</x:v>
      </x:c>
      <x:c r="R661" t="str">
        <x:f>TEXT(B661,"yyyy-mm")</x:f>
        <x:v>2025-11</x:v>
      </x:c>
    </x:row>
    <x:row r="662">
      <x:c r="A662" t="n">
        <x:v>10763</x:v>
      </x:c>
      <x:c r="B662" s="10" t="n">
        <x:v>45967</x:v>
      </x:c>
      <x:c r="C662" t="str">
        <x:v>P001</x:v>
      </x:c>
      <x:c r="D662" t="str">
        <x:v>Laptop</x:v>
      </x:c>
      <x:c r="E662" t="str">
        <x:v>Electronics</x:v>
      </x:c>
      <x:c r="F662" t="str">
        <x:v>North</x:v>
      </x:c>
      <x:c r="G662" t="str">
        <x:v>Online</x:v>
      </x:c>
      <x:c r="H662" t="str">
        <x:v>Completed</x:v>
      </x:c>
      <x:c r="I662" t="n">
        <x:v>4</x:v>
      </x:c>
      <x:c r="J662" s="12" t="n">
        <x:v>935.39</x:v>
      </x:c>
      <x:c r="K662" s="12" t="n">
        <x:v>630.99</x:v>
      </x:c>
      <x:c r="L662" s="14" t="n">
        <x:v>0</x:v>
      </x:c>
      <x:c r="M662" s="12" t="n">
        <x:f>IF(H662="Completed",I662*J662*(1-L662),0)</x:f>
        <x:v>3741.56</x:v>
      </x:c>
      <x:c r="N662" s="12" t="n">
        <x:f>IF(H662="Completed",I662*K662,0)</x:f>
        <x:v>2523.96</x:v>
      </x:c>
      <x:c r="O662" s="12" t="n">
        <x:f>M662-N662</x:f>
        <x:v>1217.6</x:v>
      </x:c>
      <x:c r="P662" s="16" t="n">
        <x:f>IFERROR(O662/M662,0)</x:f>
        <x:v>0.3254257582398785</x:v>
      </x:c>
      <x:c r="Q662" t="n">
        <x:f>YEAR(B662)</x:f>
        <x:v>2025</x:v>
      </x:c>
      <x:c r="R662" t="str">
        <x:f>TEXT(B662,"yyyy-mm")</x:f>
        <x:v>2025-11</x:v>
      </x:c>
    </x:row>
    <x:row r="663">
      <x:c r="A663" t="n">
        <x:v>10130</x:v>
      </x:c>
      <x:c r="B663" s="10" t="n">
        <x:v>45968</x:v>
      </x:c>
      <x:c r="C663" t="str">
        <x:v>P001</x:v>
      </x:c>
      <x:c r="D663" t="str">
        <x:v>Laptop</x:v>
      </x:c>
      <x:c r="E663" t="str">
        <x:v>Electronics</x:v>
      </x:c>
      <x:c r="F663" t="str">
        <x:v>North</x:v>
      </x:c>
      <x:c r="G663" t="str">
        <x:v>Retail</x:v>
      </x:c>
      <x:c r="H663" t="str">
        <x:v>Completed</x:v>
      </x:c>
      <x:c r="I663" t="n">
        <x:v>2</x:v>
      </x:c>
      <x:c r="J663" s="12" t="n">
        <x:v>913.25</x:v>
      </x:c>
      <x:c r="K663" s="12" t="n">
        <x:v>613</x:v>
      </x:c>
      <x:c r="L663" s="14" t="n">
        <x:v>0.1</x:v>
      </x:c>
      <x:c r="M663" s="12" t="n">
        <x:f>IF(H663="Completed",I663*J663*(1-L663),0)</x:f>
        <x:v>1643.8500000000001</x:v>
      </x:c>
      <x:c r="N663" s="12" t="n">
        <x:f>IF(H663="Completed",I663*K663,0)</x:f>
        <x:v>1226</x:v>
      </x:c>
      <x:c r="O663" s="12" t="n">
        <x:f>M663-N663</x:f>
        <x:v>417.85000000000014</x:v>
      </x:c>
      <x:c r="P663" s="16" t="n">
        <x:f>IFERROR(O663/M663,0)</x:f>
        <x:v>0.25418985917206566</x:v>
      </x:c>
      <x:c r="Q663" t="n">
        <x:f>YEAR(B663)</x:f>
        <x:v>2025</x:v>
      </x:c>
      <x:c r="R663" t="str">
        <x:f>TEXT(B663,"yyyy-mm")</x:f>
        <x:v>2025-11</x:v>
      </x:c>
    </x:row>
    <x:row r="664">
      <x:c r="A664" t="n">
        <x:v>10624</x:v>
      </x:c>
      <x:c r="B664" s="10" t="n">
        <x:v>45968</x:v>
      </x:c>
      <x:c r="C664" t="str">
        <x:v>P003</x:v>
      </x:c>
      <x:c r="D664" t="str">
        <x:v>Keyboard</x:v>
      </x:c>
      <x:c r="E664" t="str">
        <x:v>Accessories</x:v>
      </x:c>
      <x:c r="F664" t="str">
        <x:v>Scotland</x:v>
      </x:c>
      <x:c r="G664" t="str">
        <x:v>Online</x:v>
      </x:c>
      <x:c r="H664" t="str">
        <x:v>Completed</x:v>
      </x:c>
      <x:c r="I664" t="n">
        <x:v>4</x:v>
      </x:c>
      <x:c r="J664" s="12" t="n">
        <x:v>50.17</x:v>
      </x:c>
      <x:c r="K664" s="12" t="n">
        <x:v>25.9</x:v>
      </x:c>
      <x:c r="L664" s="14" t="n">
        <x:v>0</x:v>
      </x:c>
      <x:c r="M664" s="12" t="n">
        <x:f>IF(H664="Completed",I664*J664*(1-L664),0)</x:f>
        <x:v>200.68</x:v>
      </x:c>
      <x:c r="N664" s="12" t="n">
        <x:f>IF(H664="Completed",I664*K664,0)</x:f>
        <x:v>103.6</x:v>
      </x:c>
      <x:c r="O664" s="12" t="n">
        <x:f>M664-N664</x:f>
        <x:v>97.08000000000001</x:v>
      </x:c>
      <x:c r="P664" s="16" t="n">
        <x:f>IFERROR(O664/M664,0)</x:f>
        <x:v>0.4837552322104844</x:v>
      </x:c>
      <x:c r="Q664" t="n">
        <x:f>YEAR(B664)</x:f>
        <x:v>2025</x:v>
      </x:c>
      <x:c r="R664" t="str">
        <x:f>TEXT(B664,"yyyy-mm")</x:f>
        <x:v>2025-11</x:v>
      </x:c>
    </x:row>
    <x:row r="665">
      <x:c r="A665" t="n">
        <x:v>10870</x:v>
      </x:c>
      <x:c r="B665" s="10" t="n">
        <x:v>45968</x:v>
      </x:c>
      <x:c r="C665" t="str">
        <x:v>P003</x:v>
      </x:c>
      <x:c r="D665" t="str">
        <x:v>Keyboard</x:v>
      </x:c>
      <x:c r="E665" t="str">
        <x:v>Accessories</x:v>
      </x:c>
      <x:c r="F665" t="str">
        <x:v>Wales</x:v>
      </x:c>
      <x:c r="G665" t="str">
        <x:v>Partner</x:v>
      </x:c>
      <x:c r="H665" t="str">
        <x:v>Cancelled</x:v>
      </x:c>
      <x:c r="I665" t="n">
        <x:v>1</x:v>
      </x:c>
      <x:c r="J665" s="12" t="n">
        <x:v>48.97</x:v>
      </x:c>
      <x:c r="K665" s="12" t="n">
        <x:v>26.63</x:v>
      </x:c>
      <x:c r="L665" s="14" t="n">
        <x:v>0</x:v>
      </x:c>
      <x:c r="M665" s="12" t="n">
        <x:f>IF(H665="Completed",I665*J665*(1-L665),0)</x:f>
        <x:v>0</x:v>
      </x:c>
      <x:c r="N665" s="12" t="n">
        <x:f>IF(H665="Completed",I665*K665,0)</x:f>
        <x:v>0</x:v>
      </x:c>
      <x:c r="O665" s="12" t="n">
        <x:f>M665-N665</x:f>
        <x:v>0</x:v>
      </x:c>
      <x:c r="P665" s="16" t="n">
        <x:f>IFERROR(O665/M665,0)</x:f>
        <x:v>0</x:v>
      </x:c>
      <x:c r="Q665" t="n">
        <x:f>YEAR(B665)</x:f>
        <x:v>2025</x:v>
      </x:c>
      <x:c r="R665" t="str">
        <x:f>TEXT(B665,"yyyy-mm")</x:f>
        <x:v>2025-11</x:v>
      </x:c>
    </x:row>
    <x:row r="666">
      <x:c r="A666" t="n">
        <x:v>10497</x:v>
      </x:c>
      <x:c r="B666" s="10" t="n">
        <x:v>45969</x:v>
      </x:c>
      <x:c r="C666" t="str">
        <x:v>P005</x:v>
      </x:c>
      <x:c r="D666" t="str">
        <x:v>Desk</x:v>
      </x:c>
      <x:c r="E666" t="str">
        <x:v>Furniture</x:v>
      </x:c>
      <x:c r="F666" t="str">
        <x:v>North</x:v>
      </x:c>
      <x:c r="G666" t="str">
        <x:v>Retail</x:v>
      </x:c>
      <x:c r="H666" t="str">
        <x:v>Completed</x:v>
      </x:c>
      <x:c r="I666" t="n">
        <x:v>1</x:v>
      </x:c>
      <x:c r="J666" s="12" t="n">
        <x:v>270.03</x:v>
      </x:c>
      <x:c r="K666" s="12" t="n">
        <x:v>158.34</x:v>
      </x:c>
      <x:c r="L666" s="14" t="n">
        <x:v>0.05</x:v>
      </x:c>
      <x:c r="M666" s="12" t="n">
        <x:f>IF(H666="Completed",I666*J666*(1-L666),0)</x:f>
        <x:v>256.52849999999995</x:v>
      </x:c>
      <x:c r="N666" s="12" t="n">
        <x:f>IF(H666="Completed",I666*K666,0)</x:f>
        <x:v>158.34</x:v>
      </x:c>
      <x:c r="O666" s="12" t="n">
        <x:f>M666-N666</x:f>
        <x:v>98.18849999999995</x:v>
      </x:c>
      <x:c r="P666" s="16" t="n">
        <x:f>IFERROR(O666/M666,0)</x:f>
        <x:v>0.3827586408527706</x:v>
      </x:c>
      <x:c r="Q666" t="n">
        <x:f>YEAR(B666)</x:f>
        <x:v>2025</x:v>
      </x:c>
      <x:c r="R666" t="str">
        <x:f>TEXT(B666,"yyyy-mm")</x:f>
        <x:v>2025-11</x:v>
      </x:c>
    </x:row>
    <x:row r="667">
      <x:c r="A667" t="n">
        <x:v>10078</x:v>
      </x:c>
      <x:c r="B667" s="10" t="n">
        <x:v>45971</x:v>
      </x:c>
      <x:c r="C667" t="str">
        <x:v>P006</x:v>
      </x:c>
      <x:c r="D667" t="str">
        <x:v>Chair</x:v>
      </x:c>
      <x:c r="E667" t="str">
        <x:v>Furniture</x:v>
      </x:c>
      <x:c r="F667" t="str">
        <x:v>South</x:v>
      </x:c>
      <x:c r="G667" t="str">
        <x:v>Online</x:v>
      </x:c>
      <x:c r="H667" t="str">
        <x:v>Cancelled</x:v>
      </x:c>
      <x:c r="I667" t="n">
        <x:v>4</x:v>
      </x:c>
      <x:c r="J667" s="12" t="n">
        <x:v>134.27</x:v>
      </x:c>
      <x:c r="K667" s="12" t="n">
        <x:v>68.18</x:v>
      </x:c>
      <x:c r="L667" s="14" t="n">
        <x:v>0</x:v>
      </x:c>
      <x:c r="M667" s="12" t="n">
        <x:f>IF(H667="Completed",I667*J667*(1-L667),0)</x:f>
        <x:v>0</x:v>
      </x:c>
      <x:c r="N667" s="12" t="n">
        <x:f>IF(H667="Completed",I667*K667,0)</x:f>
        <x:v>0</x:v>
      </x:c>
      <x:c r="O667" s="12" t="n">
        <x:f>M667-N667</x:f>
        <x:v>0</x:v>
      </x:c>
      <x:c r="P667" s="16" t="n">
        <x:f>IFERROR(O667/M667,0)</x:f>
        <x:v>0</x:v>
      </x:c>
      <x:c r="Q667" t="n">
        <x:f>YEAR(B667)</x:f>
        <x:v>2025</x:v>
      </x:c>
      <x:c r="R667" t="str">
        <x:f>TEXT(B667,"yyyy-mm")</x:f>
        <x:v>2025-11</x:v>
      </x:c>
    </x:row>
    <x:row r="668">
      <x:c r="A668" t="n">
        <x:v>10667</x:v>
      </x:c>
      <x:c r="B668" s="10" t="n">
        <x:v>45971</x:v>
      </x:c>
      <x:c r="C668" t="str">
        <x:v>P002</x:v>
      </x:c>
      <x:c r="D668" t="str">
        <x:v>Monitor</x:v>
      </x:c>
      <x:c r="E668" t="str">
        <x:v>Electronics</x:v>
      </x:c>
      <x:c r="F668" t="str">
        <x:v>South</x:v>
      </x:c>
      <x:c r="G668" t="str">
        <x:v>Partner</x:v>
      </x:c>
      <x:c r="H668" t="str">
        <x:v>Cancelled</x:v>
      </x:c>
      <x:c r="I668" t="n">
        <x:v>3</x:v>
      </x:c>
      <x:c r="J668" s="12" t="n">
        <x:v>285.8</x:v>
      </x:c>
      <x:c r="K668" s="12" t="n">
        <x:v>170.96</x:v>
      </x:c>
      <x:c r="L668" s="14" t="n">
        <x:v>0</x:v>
      </x:c>
      <x:c r="M668" s="12" t="n">
        <x:f>IF(H668="Completed",I668*J668*(1-L668),0)</x:f>
        <x:v>0</x:v>
      </x:c>
      <x:c r="N668" s="12" t="n">
        <x:f>IF(H668="Completed",I668*K668,0)</x:f>
        <x:v>0</x:v>
      </x:c>
      <x:c r="O668" s="12" t="n">
        <x:f>M668-N668</x:f>
        <x:v>0</x:v>
      </x:c>
      <x:c r="P668" s="16" t="n">
        <x:f>IFERROR(O668/M668,0)</x:f>
        <x:v>0</x:v>
      </x:c>
      <x:c r="Q668" t="n">
        <x:f>YEAR(B668)</x:f>
        <x:v>2025</x:v>
      </x:c>
      <x:c r="R668" t="str">
        <x:f>TEXT(B668,"yyyy-mm")</x:f>
        <x:v>2025-11</x:v>
      </x:c>
    </x:row>
    <x:row r="669">
      <x:c r="A669" t="n">
        <x:v>10557</x:v>
      </x:c>
      <x:c r="B669" s="10" t="n">
        <x:v>45973</x:v>
      </x:c>
      <x:c r="C669" t="str">
        <x:v>P004</x:v>
      </x:c>
      <x:c r="D669" t="str">
        <x:v>Mouse</x:v>
      </x:c>
      <x:c r="E669" t="str">
        <x:v>Accessories</x:v>
      </x:c>
      <x:c r="F669" t="str">
        <x:v>Midlands</x:v>
      </x:c>
      <x:c r="G669" t="str">
        <x:v>Partner</x:v>
      </x:c>
      <x:c r="H669" t="str">
        <x:v>Completed</x:v>
      </x:c>
      <x:c r="I669" t="n">
        <x:v>4</x:v>
      </x:c>
      <x:c r="J669" s="12" t="n">
        <x:v>27.38</x:v>
      </x:c>
      <x:c r="K669" s="12" t="n">
        <x:v>12.77</x:v>
      </x:c>
      <x:c r="L669" s="14" t="n">
        <x:v>0</x:v>
      </x:c>
      <x:c r="M669" s="12" t="n">
        <x:f>IF(H669="Completed",I669*J669*(1-L669),0)</x:f>
        <x:v>109.52</x:v>
      </x:c>
      <x:c r="N669" s="12" t="n">
        <x:f>IF(H669="Completed",I669*K669,0)</x:f>
        <x:v>51.08</x:v>
      </x:c>
      <x:c r="O669" s="12" t="n">
        <x:f>M669-N669</x:f>
        <x:v>58.44</x:v>
      </x:c>
      <x:c r="P669" s="16" t="n">
        <x:f>IFERROR(O669/M669,0)</x:f>
        <x:v>0.5336011687363039</x:v>
      </x:c>
      <x:c r="Q669" t="n">
        <x:f>YEAR(B669)</x:f>
        <x:v>2025</x:v>
      </x:c>
      <x:c r="R669" t="str">
        <x:f>TEXT(B669,"yyyy-mm")</x:f>
        <x:v>2025-11</x:v>
      </x:c>
    </x:row>
    <x:row r="670">
      <x:c r="A670" t="n">
        <x:v>10112</x:v>
      </x:c>
      <x:c r="B670" s="10" t="n">
        <x:v>45974</x:v>
      </x:c>
      <x:c r="C670" t="str">
        <x:v>P001</x:v>
      </x:c>
      <x:c r="D670" t="str">
        <x:v>Laptop</x:v>
      </x:c>
      <x:c r="E670" t="str">
        <x:v>Electronics</x:v>
      </x:c>
      <x:c r="F670" t="str">
        <x:v>Wales</x:v>
      </x:c>
      <x:c r="G670" t="str">
        <x:v>Retail</x:v>
      </x:c>
      <x:c r="H670" t="str">
        <x:v>Completed</x:v>
      </x:c>
      <x:c r="I670" t="n">
        <x:v>4</x:v>
      </x:c>
      <x:c r="J670" s="12" t="n">
        <x:v>920.85</x:v>
      </x:c>
      <x:c r="K670" s="12" t="n">
        <x:v>618.31</x:v>
      </x:c>
      <x:c r="L670" s="14" t="n">
        <x:v>0</x:v>
      </x:c>
      <x:c r="M670" s="12" t="n">
        <x:f>IF(H670="Completed",I670*J670*(1-L670),0)</x:f>
        <x:v>3683.4</x:v>
      </x:c>
      <x:c r="N670" s="12" t="n">
        <x:f>IF(H670="Completed",I670*K670,0)</x:f>
        <x:v>2473.24</x:v>
      </x:c>
      <x:c r="O670" s="12" t="n">
        <x:f>M670-N670</x:f>
        <x:v>1210.1600000000003</x:v>
      </x:c>
      <x:c r="P670" s="16" t="n">
        <x:f>IFERROR(O670/M670,0)</x:f>
        <x:v>0.3285442797415432</x:v>
      </x:c>
      <x:c r="Q670" t="n">
        <x:f>YEAR(B670)</x:f>
        <x:v>2025</x:v>
      </x:c>
      <x:c r="R670" t="str">
        <x:f>TEXT(B670,"yyyy-mm")</x:f>
        <x:v>2025-11</x:v>
      </x:c>
    </x:row>
    <x:row r="671">
      <x:c r="A671" t="n">
        <x:v>10696</x:v>
      </x:c>
      <x:c r="B671" s="10" t="n">
        <x:v>45975</x:v>
      </x:c>
      <x:c r="C671" t="str">
        <x:v>P008</x:v>
      </x:c>
      <x:c r="D671" t="str">
        <x:v>Webcam</x:v>
      </x:c>
      <x:c r="E671" t="str">
        <x:v>Electronics</x:v>
      </x:c>
      <x:c r="F671" t="str">
        <x:v>Scotland</x:v>
      </x:c>
      <x:c r="G671" t="str">
        <x:v>Online</x:v>
      </x:c>
      <x:c r="H671" t="str">
        <x:v>Completed</x:v>
      </x:c>
      <x:c r="I671" t="n">
        <x:v>2</x:v>
      </x:c>
      <x:c r="J671" s="12" t="n">
        <x:v>90.91</x:v>
      </x:c>
      <x:c r="K671" s="12" t="n">
        <x:v>42.19</x:v>
      </x:c>
      <x:c r="L671" s="14" t="n">
        <x:v>0</x:v>
      </x:c>
      <x:c r="M671" s="12" t="n">
        <x:f>IF(H671="Completed",I671*J671*(1-L671),0)</x:f>
        <x:v>181.82</x:v>
      </x:c>
      <x:c r="N671" s="12" t="n">
        <x:f>IF(H671="Completed",I671*K671,0)</x:f>
        <x:v>84.38</x:v>
      </x:c>
      <x:c r="O671" s="12" t="n">
        <x:f>M671-N671</x:f>
        <x:v>97.44</x:v>
      </x:c>
      <x:c r="P671" s="16" t="n">
        <x:f>IFERROR(O671/M671,0)</x:f>
        <x:v>0.5359146408535914</x:v>
      </x:c>
      <x:c r="Q671" t="n">
        <x:f>YEAR(B671)</x:f>
        <x:v>2025</x:v>
      </x:c>
      <x:c r="R671" t="str">
        <x:f>TEXT(B671,"yyyy-mm")</x:f>
        <x:v>2025-11</x:v>
      </x:c>
    </x:row>
    <x:row r="672">
      <x:c r="A672" t="n">
        <x:v>10859</x:v>
      </x:c>
      <x:c r="B672" s="10" t="n">
        <x:v>45975</x:v>
      </x:c>
      <x:c r="C672" t="str">
        <x:v>P008</x:v>
      </x:c>
      <x:c r="D672" t="str">
        <x:v>Webcam</x:v>
      </x:c>
      <x:c r="E672" t="str">
        <x:v>Electronics</x:v>
      </x:c>
      <x:c r="F672" t="str">
        <x:v>North</x:v>
      </x:c>
      <x:c r="G672" t="str">
        <x:v>Online</x:v>
      </x:c>
      <x:c r="H672" t="str">
        <x:v>Completed</x:v>
      </x:c>
      <x:c r="I672" t="n">
        <x:v>2</x:v>
      </x:c>
      <x:c r="J672" s="12" t="n">
        <x:v>91.27</x:v>
      </x:c>
      <x:c r="K672" s="12" t="n">
        <x:v>43.14</x:v>
      </x:c>
      <x:c r="L672" s="14" t="n">
        <x:v>0</x:v>
      </x:c>
      <x:c r="M672" s="12" t="n">
        <x:f>IF(H672="Completed",I672*J672*(1-L672),0)</x:f>
        <x:v>182.54</x:v>
      </x:c>
      <x:c r="N672" s="12" t="n">
        <x:f>IF(H672="Completed",I672*K672,0)</x:f>
        <x:v>86.28</x:v>
      </x:c>
      <x:c r="O672" s="12" t="n">
        <x:f>M672-N672</x:f>
        <x:v>96.25999999999999</x:v>
      </x:c>
      <x:c r="P672" s="16" t="n">
        <x:f>IFERROR(O672/M672,0)</x:f>
        <x:v>0.5273364741974361</x:v>
      </x:c>
      <x:c r="Q672" t="n">
        <x:f>YEAR(B672)</x:f>
        <x:v>2025</x:v>
      </x:c>
      <x:c r="R672" t="str">
        <x:f>TEXT(B672,"yyyy-mm")</x:f>
        <x:v>2025-11</x:v>
      </x:c>
    </x:row>
    <x:row r="673">
      <x:c r="A673" t="n">
        <x:v>10489</x:v>
      </x:c>
      <x:c r="B673" s="10" t="n">
        <x:v>45976</x:v>
      </x:c>
      <x:c r="C673" t="str">
        <x:v>P004</x:v>
      </x:c>
      <x:c r="D673" t="str">
        <x:v>Mouse</x:v>
      </x:c>
      <x:c r="E673" t="str">
        <x:v>Accessories</x:v>
      </x:c>
      <x:c r="F673" t="str">
        <x:v>Midlands</x:v>
      </x:c>
      <x:c r="G673" t="str">
        <x:v>Partner</x:v>
      </x:c>
      <x:c r="H673" t="str">
        <x:v>Completed</x:v>
      </x:c>
      <x:c r="I673" t="n">
        <x:v>3</x:v>
      </x:c>
      <x:c r="J673" s="12" t="n">
        <x:v>28.04</x:v>
      </x:c>
      <x:c r="K673" s="12" t="n">
        <x:v>12.95</x:v>
      </x:c>
      <x:c r="L673" s="14" t="n">
        <x:v>0</x:v>
      </x:c>
      <x:c r="M673" s="12" t="n">
        <x:f>IF(H673="Completed",I673*J673*(1-L673),0)</x:f>
        <x:v>84.12</x:v>
      </x:c>
      <x:c r="N673" s="12" t="n">
        <x:f>IF(H673="Completed",I673*K673,0)</x:f>
        <x:v>38.849999999999994</x:v>
      </x:c>
      <x:c r="O673" s="12" t="n">
        <x:f>M673-N673</x:f>
        <x:v>45.27000000000001</x:v>
      </x:c>
      <x:c r="P673" s="16" t="n">
        <x:f>IFERROR(O673/M673,0)</x:f>
        <x:v>0.5381597717546364</x:v>
      </x:c>
      <x:c r="Q673" t="n">
        <x:f>YEAR(B673)</x:f>
        <x:v>2025</x:v>
      </x:c>
      <x:c r="R673" t="str">
        <x:f>TEXT(B673,"yyyy-mm")</x:f>
        <x:v>2025-11</x:v>
      </x:c>
    </x:row>
    <x:row r="674">
      <x:c r="A674" t="n">
        <x:v>10094</x:v>
      </x:c>
      <x:c r="B674" s="10" t="n">
        <x:v>45978</x:v>
      </x:c>
      <x:c r="C674" t="str">
        <x:v>P002</x:v>
      </x:c>
      <x:c r="D674" t="str">
        <x:v>Monitor</x:v>
      </x:c>
      <x:c r="E674" t="str">
        <x:v>Electronics</x:v>
      </x:c>
      <x:c r="F674" t="str">
        <x:v>Midlands</x:v>
      </x:c>
      <x:c r="G674" t="str">
        <x:v>Retail</x:v>
      </x:c>
      <x:c r="H674" t="str">
        <x:v>Completed</x:v>
      </x:c>
      <x:c r="I674" t="n">
        <x:v>2</x:v>
      </x:c>
      <x:c r="J674" s="12" t="n">
        <x:v>295.31</x:v>
      </x:c>
      <x:c r="K674" s="12" t="n">
        <x:v>173.52</x:v>
      </x:c>
      <x:c r="L674" s="14" t="n">
        <x:v>0.15</x:v>
      </x:c>
      <x:c r="M674" s="12" t="n">
        <x:f>IF(H674="Completed",I674*J674*(1-L674),0)</x:f>
        <x:v>502.027</x:v>
      </x:c>
      <x:c r="N674" s="12" t="n">
        <x:f>IF(H674="Completed",I674*K674,0)</x:f>
        <x:v>347.04</x:v>
      </x:c>
      <x:c r="O674" s="12" t="n">
        <x:f>M674-N674</x:f>
        <x:v>154.98699999999997</x:v>
      </x:c>
      <x:c r="P674" s="16" t="n">
        <x:f>IFERROR(O674/M674,0)</x:f>
        <x:v>0.308722439231356</x:v>
      </x:c>
      <x:c r="Q674" t="n">
        <x:f>YEAR(B674)</x:f>
        <x:v>2025</x:v>
      </x:c>
      <x:c r="R674" t="str">
        <x:f>TEXT(B674,"yyyy-mm")</x:f>
        <x:v>2025-11</x:v>
      </x:c>
    </x:row>
    <x:row r="675">
      <x:c r="A675" t="n">
        <x:v>10257</x:v>
      </x:c>
      <x:c r="B675" s="10" t="n">
        <x:v>45979</x:v>
      </x:c>
      <x:c r="C675" t="str">
        <x:v>P004</x:v>
      </x:c>
      <x:c r="D675" t="str">
        <x:v>Mouse</x:v>
      </x:c>
      <x:c r="E675" t="str">
        <x:v>Accessories</x:v>
      </x:c>
      <x:c r="F675" t="str">
        <x:v>North</x:v>
      </x:c>
      <x:c r="G675" t="str">
        <x:v>Partner</x:v>
      </x:c>
      <x:c r="H675" t="str">
        <x:v>Completed</x:v>
      </x:c>
      <x:c r="I675" t="n">
        <x:v>4</x:v>
      </x:c>
      <x:c r="J675" s="12" t="n">
        <x:v>26.59</x:v>
      </x:c>
      <x:c r="K675" s="12" t="n">
        <x:v>12.86</x:v>
      </x:c>
      <x:c r="L675" s="14" t="n">
        <x:v>0</x:v>
      </x:c>
      <x:c r="M675" s="12" t="n">
        <x:f>IF(H675="Completed",I675*J675*(1-L675),0)</x:f>
        <x:v>106.36</x:v>
      </x:c>
      <x:c r="N675" s="12" t="n">
        <x:f>IF(H675="Completed",I675*K675,0)</x:f>
        <x:v>51.44</x:v>
      </x:c>
      <x:c r="O675" s="12" t="n">
        <x:f>M675-N675</x:f>
        <x:v>54.92</x:v>
      </x:c>
      <x:c r="P675" s="16" t="n">
        <x:f>IFERROR(O675/M675,0)</x:f>
        <x:v>0.5163595336592705</x:v>
      </x:c>
      <x:c r="Q675" t="n">
        <x:f>YEAR(B675)</x:f>
        <x:v>2025</x:v>
      </x:c>
      <x:c r="R675" t="str">
        <x:f>TEXT(B675,"yyyy-mm")</x:f>
        <x:v>2025-11</x:v>
      </x:c>
    </x:row>
    <x:row r="676">
      <x:c r="A676" t="n">
        <x:v>10410</x:v>
      </x:c>
      <x:c r="B676" s="10" t="n">
        <x:v>45979</x:v>
      </x:c>
      <x:c r="C676" t="str">
        <x:v>P006</x:v>
      </x:c>
      <x:c r="D676" t="str">
        <x:v>Chair</x:v>
      </x:c>
      <x:c r="E676" t="str">
        <x:v>Furniture</x:v>
      </x:c>
      <x:c r="F676" t="str">
        <x:v>Scotland</x:v>
      </x:c>
      <x:c r="G676" t="str">
        <x:v>Retail</x:v>
      </x:c>
      <x:c r="H676" t="str">
        <x:v>Cancelled</x:v>
      </x:c>
      <x:c r="I676" t="n">
        <x:v>3</x:v>
      </x:c>
      <x:c r="J676" s="12" t="n">
        <x:v>133.73</x:v>
      </x:c>
      <x:c r="K676" s="12" t="n">
        <x:v>68.24</x:v>
      </x:c>
      <x:c r="L676" s="14" t="n">
        <x:v>0</x:v>
      </x:c>
      <x:c r="M676" s="12" t="n">
        <x:f>IF(H676="Completed",I676*J676*(1-L676),0)</x:f>
        <x:v>0</x:v>
      </x:c>
      <x:c r="N676" s="12" t="n">
        <x:f>IF(H676="Completed",I676*K676,0)</x:f>
        <x:v>0</x:v>
      </x:c>
      <x:c r="O676" s="12" t="n">
        <x:f>M676-N676</x:f>
        <x:v>0</x:v>
      </x:c>
      <x:c r="P676" s="16" t="n">
        <x:f>IFERROR(O676/M676,0)</x:f>
        <x:v>0</x:v>
      </x:c>
      <x:c r="Q676" t="n">
        <x:f>YEAR(B676)</x:f>
        <x:v>2025</x:v>
      </x:c>
      <x:c r="R676" t="str">
        <x:f>TEXT(B676,"yyyy-mm")</x:f>
        <x:v>2025-11</x:v>
      </x:c>
    </x:row>
    <x:row r="677">
      <x:c r="A677" t="n">
        <x:v>10589</x:v>
      </x:c>
      <x:c r="B677" s="10" t="n">
        <x:v>45979</x:v>
      </x:c>
      <x:c r="C677" t="str">
        <x:v>P007</x:v>
      </x:c>
      <x:c r="D677" t="str">
        <x:v>Headset</x:v>
      </x:c>
      <x:c r="E677" t="str">
        <x:v>Accessories</x:v>
      </x:c>
      <x:c r="F677" t="str">
        <x:v>Midlands</x:v>
      </x:c>
      <x:c r="G677" t="str">
        <x:v>Online</x:v>
      </x:c>
      <x:c r="H677" t="str">
        <x:v>Completed</x:v>
      </x:c>
      <x:c r="I677" t="n">
        <x:v>4</x:v>
      </x:c>
      <x:c r="J677" s="12" t="n">
        <x:v>73.14</x:v>
      </x:c>
      <x:c r="K677" s="12" t="n">
        <x:v>35.65</x:v>
      </x:c>
      <x:c r="L677" s="14" t="n">
        <x:v>0.1</x:v>
      </x:c>
      <x:c r="M677" s="12" t="n">
        <x:f>IF(H677="Completed",I677*J677*(1-L677),0)</x:f>
        <x:v>263.30400000000003</x:v>
      </x:c>
      <x:c r="N677" s="12" t="n">
        <x:f>IF(H677="Completed",I677*K677,0)</x:f>
        <x:v>142.6</x:v>
      </x:c>
      <x:c r="O677" s="12" t="n">
        <x:f>M677-N677</x:f>
        <x:v>120.70400000000004</x:v>
      </x:c>
      <x:c r="P677" s="16" t="n">
        <x:f>IFERROR(O677/M677,0)</x:f>
        <x:v>0.45842068483577925</x:v>
      </x:c>
      <x:c r="Q677" t="n">
        <x:f>YEAR(B677)</x:f>
        <x:v>2025</x:v>
      </x:c>
      <x:c r="R677" t="str">
        <x:f>TEXT(B677,"yyyy-mm")</x:f>
        <x:v>2025-11</x:v>
      </x:c>
    </x:row>
    <x:row r="678">
      <x:c r="A678" t="n">
        <x:v>10772</x:v>
      </x:c>
      <x:c r="B678" s="10" t="n">
        <x:v>45980</x:v>
      </x:c>
      <x:c r="C678" t="str">
        <x:v>P002</x:v>
      </x:c>
      <x:c r="D678" t="str">
        <x:v>Monitor</x:v>
      </x:c>
      <x:c r="E678" t="str">
        <x:v>Electronics</x:v>
      </x:c>
      <x:c r="F678" t="str">
        <x:v>Midlands</x:v>
      </x:c>
      <x:c r="G678" t="str">
        <x:v>Retail</x:v>
      </x:c>
      <x:c r="H678" t="str">
        <x:v>Completed</x:v>
      </x:c>
      <x:c r="I678" t="n">
        <x:v>4</x:v>
      </x:c>
      <x:c r="J678" s="12" t="n">
        <x:v>279.31</x:v>
      </x:c>
      <x:c r="K678" s="12" t="n">
        <x:v>170.01</x:v>
      </x:c>
      <x:c r="L678" s="14" t="n">
        <x:v>0</x:v>
      </x:c>
      <x:c r="M678" s="12" t="n">
        <x:f>IF(H678="Completed",I678*J678*(1-L678),0)</x:f>
        <x:v>1117.24</x:v>
      </x:c>
      <x:c r="N678" s="12" t="n">
        <x:f>IF(H678="Completed",I678*K678,0)</x:f>
        <x:v>680.04</x:v>
      </x:c>
      <x:c r="O678" s="12" t="n">
        <x:f>M678-N678</x:f>
        <x:v>437.20000000000005</x:v>
      </x:c>
      <x:c r="P678" s="16" t="n">
        <x:f>IFERROR(O678/M678,0)</x:f>
        <x:v>0.3913214707672479</x:v>
      </x:c>
      <x:c r="Q678" t="n">
        <x:f>YEAR(B678)</x:f>
        <x:v>2025</x:v>
      </x:c>
      <x:c r="R678" t="str">
        <x:f>TEXT(B678,"yyyy-mm")</x:f>
        <x:v>2025-11</x:v>
      </x:c>
    </x:row>
    <x:row r="679">
      <x:c r="A679" t="n">
        <x:v>10454</x:v>
      </x:c>
      <x:c r="B679" s="10" t="n">
        <x:v>45982</x:v>
      </x:c>
      <x:c r="C679" t="str">
        <x:v>P005</x:v>
      </x:c>
      <x:c r="D679" t="str">
        <x:v>Desk</x:v>
      </x:c>
      <x:c r="E679" t="str">
        <x:v>Furniture</x:v>
      </x:c>
      <x:c r="F679" t="str">
        <x:v>Scotland</x:v>
      </x:c>
      <x:c r="G679" t="str">
        <x:v>Online</x:v>
      </x:c>
      <x:c r="H679" t="str">
        <x:v>Completed</x:v>
      </x:c>
      <x:c r="I679" t="n">
        <x:v>4</x:v>
      </x:c>
      <x:c r="J679" s="12" t="n">
        <x:v>269.55</x:v>
      </x:c>
      <x:c r="K679" s="12" t="n">
        <x:v>157.09</x:v>
      </x:c>
      <x:c r="L679" s="14" t="n">
        <x:v>0.05</x:v>
      </x:c>
      <x:c r="M679" s="12" t="n">
        <x:f>IF(H679="Completed",I679*J679*(1-L679),0)</x:f>
        <x:v>1024.29</x:v>
      </x:c>
      <x:c r="N679" s="12" t="n">
        <x:f>IF(H679="Completed",I679*K679,0)</x:f>
        <x:v>628.36</x:v>
      </x:c>
      <x:c r="O679" s="12" t="n">
        <x:f>M679-N679</x:f>
        <x:v>395.92999999999995</x:v>
      </x:c>
      <x:c r="P679" s="16" t="n">
        <x:f>IFERROR(O679/M679,0)</x:f>
        <x:v>0.3865409210282244</x:v>
      </x:c>
      <x:c r="Q679" t="n">
        <x:f>YEAR(B679)</x:f>
        <x:v>2025</x:v>
      </x:c>
      <x:c r="R679" t="str">
        <x:f>TEXT(B679,"yyyy-mm")</x:f>
        <x:v>2025-11</x:v>
      </x:c>
    </x:row>
    <x:row r="680">
      <x:c r="A680" t="n">
        <x:v>10297</x:v>
      </x:c>
      <x:c r="B680" s="10" t="n">
        <x:v>45985</x:v>
      </x:c>
      <x:c r="C680" t="str">
        <x:v>P003</x:v>
      </x:c>
      <x:c r="D680" t="str">
        <x:v>Keyboard</x:v>
      </x:c>
      <x:c r="E680" t="str">
        <x:v>Accessories</x:v>
      </x:c>
      <x:c r="F680" t="str">
        <x:v>South</x:v>
      </x:c>
      <x:c r="G680" t="str">
        <x:v>Retail</x:v>
      </x:c>
      <x:c r="H680" t="str">
        <x:v>Completed</x:v>
      </x:c>
      <x:c r="I680" t="n">
        <x:v>2</x:v>
      </x:c>
      <x:c r="J680" s="12" t="n">
        <x:v>48.99</x:v>
      </x:c>
      <x:c r="K680" s="12" t="n">
        <x:v>26.08</x:v>
      </x:c>
      <x:c r="L680" s="14" t="n">
        <x:v>0.1</x:v>
      </x:c>
      <x:c r="M680" s="12" t="n">
        <x:f>IF(H680="Completed",I680*J680*(1-L680),0)</x:f>
        <x:v>88.182</x:v>
      </x:c>
      <x:c r="N680" s="12" t="n">
        <x:f>IF(H680="Completed",I680*K680,0)</x:f>
        <x:v>52.16</x:v>
      </x:c>
      <x:c r="O680" s="12" t="n">
        <x:f>M680-N680</x:f>
        <x:v>36.022000000000006</x:v>
      </x:c>
      <x:c r="P680" s="16" t="n">
        <x:f>IFERROR(O680/M680,0)</x:f>
        <x:v>0.40849606495656715</x:v>
      </x:c>
      <x:c r="Q680" t="n">
        <x:f>YEAR(B680)</x:f>
        <x:v>2025</x:v>
      </x:c>
      <x:c r="R680" t="str">
        <x:f>TEXT(B680,"yyyy-mm")</x:f>
        <x:v>2025-11</x:v>
      </x:c>
    </x:row>
    <x:row r="681">
      <x:c r="A681" t="n">
        <x:v>10881</x:v>
      </x:c>
      <x:c r="B681" s="10" t="n">
        <x:v>45985</x:v>
      </x:c>
      <x:c r="C681" t="str">
        <x:v>P007</x:v>
      </x:c>
      <x:c r="D681" t="str">
        <x:v>Headset</x:v>
      </x:c>
      <x:c r="E681" t="str">
        <x:v>Accessories</x:v>
      </x:c>
      <x:c r="F681" t="str">
        <x:v>Scotland</x:v>
      </x:c>
      <x:c r="G681" t="str">
        <x:v>Retail</x:v>
      </x:c>
      <x:c r="H681" t="str">
        <x:v>Completed</x:v>
      </x:c>
      <x:c r="I681" t="n">
        <x:v>4</x:v>
      </x:c>
      <x:c r="J681" s="12" t="n">
        <x:v>73.31</x:v>
      </x:c>
      <x:c r="K681" s="12" t="n">
        <x:v>35.96</x:v>
      </x:c>
      <x:c r="L681" s="14" t="n">
        <x:v>0.05</x:v>
      </x:c>
      <x:c r="M681" s="12" t="n">
        <x:f>IF(H681="Completed",I681*J681*(1-L681),0)</x:f>
        <x:v>278.578</x:v>
      </x:c>
      <x:c r="N681" s="12" t="n">
        <x:f>IF(H681="Completed",I681*K681,0)</x:f>
        <x:v>143.84</x:v>
      </x:c>
      <x:c r="O681" s="12" t="n">
        <x:f>M681-N681</x:f>
        <x:v>134.73799999999997</x:v>
      </x:c>
      <x:c r="P681" s="16" t="n">
        <x:f>IFERROR(O681/M681,0)</x:f>
        <x:v>0.48366346229781243</x:v>
      </x:c>
      <x:c r="Q681" t="n">
        <x:f>YEAR(B681)</x:f>
        <x:v>2025</x:v>
      </x:c>
      <x:c r="R681" t="str">
        <x:f>TEXT(B681,"yyyy-mm")</x:f>
        <x:v>2025-11</x:v>
      </x:c>
    </x:row>
    <x:row r="682">
      <x:c r="A682" t="n">
        <x:v>10507</x:v>
      </x:c>
      <x:c r="B682" s="10" t="n">
        <x:v>45988</x:v>
      </x:c>
      <x:c r="C682" t="str">
        <x:v>P007</x:v>
      </x:c>
      <x:c r="D682" t="str">
        <x:v>Headset</x:v>
      </x:c>
      <x:c r="E682" t="str">
        <x:v>Accessories</x:v>
      </x:c>
      <x:c r="F682" t="str">
        <x:v>Midlands</x:v>
      </x:c>
      <x:c r="G682" t="str">
        <x:v>Retail</x:v>
      </x:c>
      <x:c r="H682" t="str">
        <x:v>Completed</x:v>
      </x:c>
      <x:c r="I682" t="n">
        <x:v>2</x:v>
      </x:c>
      <x:c r="J682" s="12" t="n">
        <x:v>71.71</x:v>
      </x:c>
      <x:c r="K682" s="12" t="n">
        <x:v>35.27</x:v>
      </x:c>
      <x:c r="L682" s="14" t="n">
        <x:v>0</x:v>
      </x:c>
      <x:c r="M682" s="12" t="n">
        <x:f>IF(H682="Completed",I682*J682*(1-L682),0)</x:f>
        <x:v>143.42</x:v>
      </x:c>
      <x:c r="N682" s="12" t="n">
        <x:f>IF(H682="Completed",I682*K682,0)</x:f>
        <x:v>70.54</x:v>
      </x:c>
      <x:c r="O682" s="12" t="n">
        <x:f>M682-N682</x:f>
        <x:v>72.87999999999998</x:v>
      </x:c>
      <x:c r="P682" s="16" t="n">
        <x:f>IFERROR(O682/M682,0)</x:f>
        <x:v>0.508157858039325</x:v>
      </x:c>
      <x:c r="Q682" t="n">
        <x:f>YEAR(B682)</x:f>
        <x:v>2025</x:v>
      </x:c>
      <x:c r="R682" t="str">
        <x:f>TEXT(B682,"yyyy-mm")</x:f>
        <x:v>2025-11</x:v>
      </x:c>
    </x:row>
    <x:row r="683">
      <x:c r="A683" t="n">
        <x:v>10071</x:v>
      </x:c>
      <x:c r="B683" s="10" t="n">
        <x:v>45992</x:v>
      </x:c>
      <x:c r="C683" t="str">
        <x:v>P002</x:v>
      </x:c>
      <x:c r="D683" t="str">
        <x:v>Monitor</x:v>
      </x:c>
      <x:c r="E683" t="str">
        <x:v>Electronics</x:v>
      </x:c>
      <x:c r="F683" t="str">
        <x:v>Midlands</x:v>
      </x:c>
      <x:c r="G683" t="str">
        <x:v>Online</x:v>
      </x:c>
      <x:c r="H683" t="str">
        <x:v>Completed</x:v>
      </x:c>
      <x:c r="I683" t="n">
        <x:v>1</x:v>
      </x:c>
      <x:c r="J683" s="12" t="n">
        <x:v>286.54</x:v>
      </x:c>
      <x:c r="K683" s="12" t="n">
        <x:v>169.5</x:v>
      </x:c>
      <x:c r="L683" s="14" t="n">
        <x:v>0</x:v>
      </x:c>
      <x:c r="M683" s="12" t="n">
        <x:f>IF(H683="Completed",I683*J683*(1-L683),0)</x:f>
        <x:v>286.54</x:v>
      </x:c>
      <x:c r="N683" s="12" t="n">
        <x:f>IF(H683="Completed",I683*K683,0)</x:f>
        <x:v>169.5</x:v>
      </x:c>
      <x:c r="O683" s="12" t="n">
        <x:f>M683-N683</x:f>
        <x:v>117.04000000000002</x:v>
      </x:c>
      <x:c r="P683" s="16" t="n">
        <x:f>IFERROR(O683/M683,0)</x:f>
        <x:v>0.4084595518950234</x:v>
      </x:c>
      <x:c r="Q683" t="n">
        <x:f>YEAR(B683)</x:f>
        <x:v>2025</x:v>
      </x:c>
      <x:c r="R683" t="str">
        <x:f>TEXT(B683,"yyyy-mm")</x:f>
        <x:v>2025-12</x:v>
      </x:c>
    </x:row>
    <x:row r="684">
      <x:c r="A684" t="n">
        <x:v>10500</x:v>
      </x:c>
      <x:c r="B684" s="10" t="n">
        <x:v>45992</x:v>
      </x:c>
      <x:c r="C684" t="str">
        <x:v>P007</x:v>
      </x:c>
      <x:c r="D684" t="str">
        <x:v>Headset</x:v>
      </x:c>
      <x:c r="E684" t="str">
        <x:v>Accessories</x:v>
      </x:c>
      <x:c r="F684" t="str">
        <x:v>South</x:v>
      </x:c>
      <x:c r="G684" t="str">
        <x:v>Online</x:v>
      </x:c>
      <x:c r="H684" t="str">
        <x:v>Cancelled</x:v>
      </x:c>
      <x:c r="I684" t="n">
        <x:v>2</x:v>
      </x:c>
      <x:c r="J684" s="12" t="n">
        <x:v>70.04</x:v>
      </x:c>
      <x:c r="K684" s="12" t="n">
        <x:v>35.67</x:v>
      </x:c>
      <x:c r="L684" s="14" t="n">
        <x:v>0.1</x:v>
      </x:c>
      <x:c r="M684" s="12" t="n">
        <x:f>IF(H684="Completed",I684*J684*(1-L684),0)</x:f>
        <x:v>0</x:v>
      </x:c>
      <x:c r="N684" s="12" t="n">
        <x:f>IF(H684="Completed",I684*K684,0)</x:f>
        <x:v>0</x:v>
      </x:c>
      <x:c r="O684" s="12" t="n">
        <x:f>M684-N684</x:f>
        <x:v>0</x:v>
      </x:c>
      <x:c r="P684" s="16" t="n">
        <x:f>IFERROR(O684/M684,0)</x:f>
        <x:v>0</x:v>
      </x:c>
      <x:c r="Q684" t="n">
        <x:f>YEAR(B684)</x:f>
        <x:v>2025</x:v>
      </x:c>
      <x:c r="R684" t="str">
        <x:f>TEXT(B684,"yyyy-mm")</x:f>
        <x:v>2025-12</x:v>
      </x:c>
    </x:row>
    <x:row r="685">
      <x:c r="A685" t="n">
        <x:v>10009</x:v>
      </x:c>
      <x:c r="B685" s="10" t="n">
        <x:v>45996</x:v>
      </x:c>
      <x:c r="C685" t="str">
        <x:v>P004</x:v>
      </x:c>
      <x:c r="D685" t="str">
        <x:v>Mouse</x:v>
      </x:c>
      <x:c r="E685" t="str">
        <x:v>Accessories</x:v>
      </x:c>
      <x:c r="F685" t="str">
        <x:v>Scotland</x:v>
      </x:c>
      <x:c r="G685" t="str">
        <x:v>Retail</x:v>
      </x:c>
      <x:c r="H685" t="str">
        <x:v>Completed</x:v>
      </x:c>
      <x:c r="I685" t="n">
        <x:v>3</x:v>
      </x:c>
      <x:c r="J685" s="12" t="n">
        <x:v>27.71</x:v>
      </x:c>
      <x:c r="K685" s="12" t="n">
        <x:v>13</x:v>
      </x:c>
      <x:c r="L685" s="14" t="n">
        <x:v>0</x:v>
      </x:c>
      <x:c r="M685" s="12" t="n">
        <x:f>IF(H685="Completed",I685*J685*(1-L685),0)</x:f>
        <x:v>83.13</x:v>
      </x:c>
      <x:c r="N685" s="12" t="n">
        <x:f>IF(H685="Completed",I685*K685,0)</x:f>
        <x:v>39</x:v>
      </x:c>
      <x:c r="O685" s="12" t="n">
        <x:f>M685-N685</x:f>
        <x:v>44.129999999999995</x:v>
      </x:c>
      <x:c r="P685" s="16" t="n">
        <x:f>IFERROR(O685/M685,0)</x:f>
        <x:v>0.530855286900036</x:v>
      </x:c>
      <x:c r="Q685" t="n">
        <x:f>YEAR(B685)</x:f>
        <x:v>2025</x:v>
      </x:c>
      <x:c r="R685" t="str">
        <x:f>TEXT(B685,"yyyy-mm")</x:f>
        <x:v>2025-12</x:v>
      </x:c>
    </x:row>
    <x:row r="686">
      <x:c r="A686" t="n">
        <x:v>10293</x:v>
      </x:c>
      <x:c r="B686" s="10" t="n">
        <x:v>45996</x:v>
      </x:c>
      <x:c r="C686" t="str">
        <x:v>P004</x:v>
      </x:c>
      <x:c r="D686" t="str">
        <x:v>Mouse</x:v>
      </x:c>
      <x:c r="E686" t="str">
        <x:v>Accessories</x:v>
      </x:c>
      <x:c r="F686" t="str">
        <x:v>Midlands</x:v>
      </x:c>
      <x:c r="G686" t="str">
        <x:v>Online</x:v>
      </x:c>
      <x:c r="H686" t="str">
        <x:v>Cancelled</x:v>
      </x:c>
      <x:c r="I686" t="n">
        <x:v>4</x:v>
      </x:c>
      <x:c r="J686" s="12" t="n">
        <x:v>27.14</x:v>
      </x:c>
      <x:c r="K686" s="12" t="n">
        <x:v>12.96</x:v>
      </x:c>
      <x:c r="L686" s="14" t="n">
        <x:v>0.15</x:v>
      </x:c>
      <x:c r="M686" s="12" t="n">
        <x:f>IF(H686="Completed",I686*J686*(1-L686),0)</x:f>
        <x:v>0</x:v>
      </x:c>
      <x:c r="N686" s="12" t="n">
        <x:f>IF(H686="Completed",I686*K686,0)</x:f>
        <x:v>0</x:v>
      </x:c>
      <x:c r="O686" s="12" t="n">
        <x:f>M686-N686</x:f>
        <x:v>0</x:v>
      </x:c>
      <x:c r="P686" s="16" t="n">
        <x:f>IFERROR(O686/M686,0)</x:f>
        <x:v>0</x:v>
      </x:c>
      <x:c r="Q686" t="n">
        <x:f>YEAR(B686)</x:f>
        <x:v>2025</x:v>
      </x:c>
      <x:c r="R686" t="str">
        <x:f>TEXT(B686,"yyyy-mm")</x:f>
        <x:v>2025-12</x:v>
      </x:c>
    </x:row>
    <x:row r="687">
      <x:c r="A687" t="n">
        <x:v>10547</x:v>
      </x:c>
      <x:c r="B687" s="10" t="n">
        <x:v>45996</x:v>
      </x:c>
      <x:c r="C687" t="str">
        <x:v>P008</x:v>
      </x:c>
      <x:c r="D687" t="str">
        <x:v>Webcam</x:v>
      </x:c>
      <x:c r="E687" t="str">
        <x:v>Electronics</x:v>
      </x:c>
      <x:c r="F687" t="str">
        <x:v>Midlands</x:v>
      </x:c>
      <x:c r="G687" t="str">
        <x:v>Retail</x:v>
      </x:c>
      <x:c r="H687" t="str">
        <x:v>Completed</x:v>
      </x:c>
      <x:c r="I687" t="n">
        <x:v>4</x:v>
      </x:c>
      <x:c r="J687" s="12" t="n">
        <x:v>87.77</x:v>
      </x:c>
      <x:c r="K687" s="12" t="n">
        <x:v>41.18</x:v>
      </x:c>
      <x:c r="L687" s="14" t="n">
        <x:v>0.1</x:v>
      </x:c>
      <x:c r="M687" s="12" t="n">
        <x:f>IF(H687="Completed",I687*J687*(1-L687),0)</x:f>
        <x:v>315.972</x:v>
      </x:c>
      <x:c r="N687" s="12" t="n">
        <x:f>IF(H687="Completed",I687*K687,0)</x:f>
        <x:v>164.72</x:v>
      </x:c>
      <x:c r="O687" s="12" t="n">
        <x:f>M687-N687</x:f>
        <x:v>151.25199999999998</x:v>
      </x:c>
      <x:c r="P687" s="16" t="n">
        <x:f>IFERROR(O687/M687,0)</x:f>
        <x:v>0.4786879850113301</x:v>
      </x:c>
      <x:c r="Q687" t="n">
        <x:f>YEAR(B687)</x:f>
        <x:v>2025</x:v>
      </x:c>
      <x:c r="R687" t="str">
        <x:f>TEXT(B687,"yyyy-mm")</x:f>
        <x:v>2025-12</x:v>
      </x:c>
    </x:row>
    <x:row r="688">
      <x:c r="A688" t="n">
        <x:v>10290</x:v>
      </x:c>
      <x:c r="B688" s="10" t="n">
        <x:v>46000</x:v>
      </x:c>
      <x:c r="C688" t="str">
        <x:v>P007</x:v>
      </x:c>
      <x:c r="D688" t="str">
        <x:v>Headset</x:v>
      </x:c>
      <x:c r="E688" t="str">
        <x:v>Accessories</x:v>
      </x:c>
      <x:c r="F688" t="str">
        <x:v>Scotland</x:v>
      </x:c>
      <x:c r="G688" t="str">
        <x:v>Online</x:v>
      </x:c>
      <x:c r="H688" t="str">
        <x:v>Cancelled</x:v>
      </x:c>
      <x:c r="I688" t="n">
        <x:v>1</x:v>
      </x:c>
      <x:c r="J688" s="12" t="n">
        <x:v>73.06</x:v>
      </x:c>
      <x:c r="K688" s="12" t="n">
        <x:v>34.45</x:v>
      </x:c>
      <x:c r="L688" s="14" t="n">
        <x:v>0.1</x:v>
      </x:c>
      <x:c r="M688" s="12" t="n">
        <x:f>IF(H688="Completed",I688*J688*(1-L688),0)</x:f>
        <x:v>0</x:v>
      </x:c>
      <x:c r="N688" s="12" t="n">
        <x:f>IF(H688="Completed",I688*K688,0)</x:f>
        <x:v>0</x:v>
      </x:c>
      <x:c r="O688" s="12" t="n">
        <x:f>M688-N688</x:f>
        <x:v>0</x:v>
      </x:c>
      <x:c r="P688" s="16" t="n">
        <x:f>IFERROR(O688/M688,0)</x:f>
        <x:v>0</x:v>
      </x:c>
      <x:c r="Q688" t="n">
        <x:f>YEAR(B688)</x:f>
        <x:v>2025</x:v>
      </x:c>
      <x:c r="R688" t="str">
        <x:f>TEXT(B688,"yyyy-mm")</x:f>
        <x:v>2025-12</x:v>
      </x:c>
    </x:row>
    <x:row r="689">
      <x:c r="A689" t="n">
        <x:v>10167</x:v>
      </x:c>
      <x:c r="B689" s="10" t="n">
        <x:v>46001</x:v>
      </x:c>
      <x:c r="C689" t="str">
        <x:v>P003</x:v>
      </x:c>
      <x:c r="D689" t="str">
        <x:v>Keyboard</x:v>
      </x:c>
      <x:c r="E689" t="str">
        <x:v>Accessories</x:v>
      </x:c>
      <x:c r="F689" t="str">
        <x:v>North</x:v>
      </x:c>
      <x:c r="G689" t="str">
        <x:v>Online</x:v>
      </x:c>
      <x:c r="H689" t="str">
        <x:v>Completed</x:v>
      </x:c>
      <x:c r="I689" t="n">
        <x:v>4</x:v>
      </x:c>
      <x:c r="J689" s="12" t="n">
        <x:v>49.62</x:v>
      </x:c>
      <x:c r="K689" s="12" t="n">
        <x:v>26.46</x:v>
      </x:c>
      <x:c r="L689" s="14" t="n">
        <x:v>0.05</x:v>
      </x:c>
      <x:c r="M689" s="12" t="n">
        <x:f>IF(H689="Completed",I689*J689*(1-L689),0)</x:f>
        <x:v>188.55599999999998</x:v>
      </x:c>
      <x:c r="N689" s="12" t="n">
        <x:f>IF(H689="Completed",I689*K689,0)</x:f>
        <x:v>105.84</x:v>
      </x:c>
      <x:c r="O689" s="12" t="n">
        <x:f>M689-N689</x:f>
        <x:v>82.71599999999998</x:v>
      </x:c>
      <x:c r="P689" s="16" t="n">
        <x:f>IFERROR(O689/M689,0)</x:f>
        <x:v>0.4386813466556354</x:v>
      </x:c>
      <x:c r="Q689" t="n">
        <x:f>YEAR(B689)</x:f>
        <x:v>2025</x:v>
      </x:c>
      <x:c r="R689" t="str">
        <x:f>TEXT(B689,"yyyy-mm")</x:f>
        <x:v>2025-12</x:v>
      </x:c>
    </x:row>
    <x:row r="690">
      <x:c r="A690" t="n">
        <x:v>10060</x:v>
      </x:c>
      <x:c r="B690" s="10" t="n">
        <x:v>46002</x:v>
      </x:c>
      <x:c r="C690" t="str">
        <x:v>P003</x:v>
      </x:c>
      <x:c r="D690" t="str">
        <x:v>Keyboard</x:v>
      </x:c>
      <x:c r="E690" t="str">
        <x:v>Accessories</x:v>
      </x:c>
      <x:c r="F690" t="str">
        <x:v>North</x:v>
      </x:c>
      <x:c r="G690" t="str">
        <x:v>Online</x:v>
      </x:c>
      <x:c r="H690" t="str">
        <x:v>Cancelled</x:v>
      </x:c>
      <x:c r="I690" t="n">
        <x:v>2</x:v>
      </x:c>
      <x:c r="J690" s="12" t="n">
        <x:v>48.96</x:v>
      </x:c>
      <x:c r="K690" s="12" t="n">
        <x:v>25.75</x:v>
      </x:c>
      <x:c r="L690" s="14" t="n">
        <x:v>0.05</x:v>
      </x:c>
      <x:c r="M690" s="12" t="n">
        <x:f>IF(H690="Completed",I690*J690*(1-L690),0)</x:f>
        <x:v>0</x:v>
      </x:c>
      <x:c r="N690" s="12" t="n">
        <x:f>IF(H690="Completed",I690*K690,0)</x:f>
        <x:v>0</x:v>
      </x:c>
      <x:c r="O690" s="12" t="n">
        <x:f>M690-N690</x:f>
        <x:v>0</x:v>
      </x:c>
      <x:c r="P690" s="16" t="n">
        <x:f>IFERROR(O690/M690,0)</x:f>
        <x:v>0</x:v>
      </x:c>
      <x:c r="Q690" t="n">
        <x:f>YEAR(B690)</x:f>
        <x:v>2025</x:v>
      </x:c>
      <x:c r="R690" t="str">
        <x:f>TEXT(B690,"yyyy-mm")</x:f>
        <x:v>2025-12</x:v>
      </x:c>
    </x:row>
    <x:row r="691">
      <x:c r="A691" t="n">
        <x:v>10285</x:v>
      </x:c>
      <x:c r="B691" s="10" t="n">
        <x:v>46003</x:v>
      </x:c>
      <x:c r="C691" t="str">
        <x:v>P004</x:v>
      </x:c>
      <x:c r="D691" t="str">
        <x:v>Mouse</x:v>
      </x:c>
      <x:c r="E691" t="str">
        <x:v>Accessories</x:v>
      </x:c>
      <x:c r="F691" t="str">
        <x:v>Midlands</x:v>
      </x:c>
      <x:c r="G691" t="str">
        <x:v>Partner</x:v>
      </x:c>
      <x:c r="H691" t="str">
        <x:v>Completed</x:v>
      </x:c>
      <x:c r="I691" t="n">
        <x:v>4</x:v>
      </x:c>
      <x:c r="J691" s="12" t="n">
        <x:v>27.58</x:v>
      </x:c>
      <x:c r="K691" s="12" t="n">
        <x:v>13.15</x:v>
      </x:c>
      <x:c r="L691" s="14" t="n">
        <x:v>0</x:v>
      </x:c>
      <x:c r="M691" s="12" t="n">
        <x:f>IF(H691="Completed",I691*J691*(1-L691),0)</x:f>
        <x:v>110.32</x:v>
      </x:c>
      <x:c r="N691" s="12" t="n">
        <x:f>IF(H691="Completed",I691*K691,0)</x:f>
        <x:v>52.6</x:v>
      </x:c>
      <x:c r="O691" s="12" t="n">
        <x:f>M691-N691</x:f>
        <x:v>57.71999999999999</x:v>
      </x:c>
      <x:c r="P691" s="16" t="n">
        <x:f>IFERROR(O691/M691,0)</x:f>
        <x:v>0.5232052211747643</x:v>
      </x:c>
      <x:c r="Q691" t="n">
        <x:f>YEAR(B691)</x:f>
        <x:v>2025</x:v>
      </x:c>
      <x:c r="R691" t="str">
        <x:f>TEXT(B691,"yyyy-mm")</x:f>
        <x:v>2025-12</x:v>
      </x:c>
    </x:row>
    <x:row r="692">
      <x:c r="A692" t="n">
        <x:v>10931</x:v>
      </x:c>
      <x:c r="B692" s="10" t="n">
        <x:v>46003</x:v>
      </x:c>
      <x:c r="C692" t="str">
        <x:v>P008</x:v>
      </x:c>
      <x:c r="D692" t="str">
        <x:v>Webcam</x:v>
      </x:c>
      <x:c r="E692" t="str">
        <x:v>Electronics</x:v>
      </x:c>
      <x:c r="F692" t="str">
        <x:v>Scotland</x:v>
      </x:c>
      <x:c r="G692" t="str">
        <x:v>Retail</x:v>
      </x:c>
      <x:c r="H692" t="str">
        <x:v>Completed</x:v>
      </x:c>
      <x:c r="I692" t="n">
        <x:v>3</x:v>
      </x:c>
      <x:c r="J692" s="12" t="n">
        <x:v>88.2</x:v>
      </x:c>
      <x:c r="K692" s="12" t="n">
        <x:v>41.85</x:v>
      </x:c>
      <x:c r="L692" s="14" t="n">
        <x:v>0.1</x:v>
      </x:c>
      <x:c r="M692" s="12" t="n">
        <x:f>IF(H692="Completed",I692*J692*(1-L692),0)</x:f>
        <x:v>238.14000000000001</x:v>
      </x:c>
      <x:c r="N692" s="12" t="n">
        <x:f>IF(H692="Completed",I692*K692,0)</x:f>
        <x:v>125.55000000000001</x:v>
      </x:c>
      <x:c r="O692" s="12" t="n">
        <x:f>M692-N692</x:f>
        <x:v>112.59</x:v>
      </x:c>
      <x:c r="P692" s="16" t="n">
        <x:f>IFERROR(O692/M692,0)</x:f>
        <x:v>0.4727891156462585</x:v>
      </x:c>
      <x:c r="Q692" t="n">
        <x:f>YEAR(B692)</x:f>
        <x:v>2025</x:v>
      </x:c>
      <x:c r="R692" t="str">
        <x:f>TEXT(B692,"yyyy-mm")</x:f>
        <x:v>2025-12</x:v>
      </x:c>
    </x:row>
    <x:row r="693">
      <x:c r="A693" t="n">
        <x:v>10056</x:v>
      </x:c>
      <x:c r="B693" s="10" t="n">
        <x:v>46004</x:v>
      </x:c>
      <x:c r="C693" t="str">
        <x:v>P008</x:v>
      </x:c>
      <x:c r="D693" t="str">
        <x:v>Webcam</x:v>
      </x:c>
      <x:c r="E693" t="str">
        <x:v>Electronics</x:v>
      </x:c>
      <x:c r="F693" t="str">
        <x:v>South</x:v>
      </x:c>
      <x:c r="G693" t="str">
        <x:v>Partner</x:v>
      </x:c>
      <x:c r="H693" t="str">
        <x:v>Completed</x:v>
      </x:c>
      <x:c r="I693" t="n">
        <x:v>1</x:v>
      </x:c>
      <x:c r="J693" s="12" t="n">
        <x:v>87.16</x:v>
      </x:c>
      <x:c r="K693" s="12" t="n">
        <x:v>42.14</x:v>
      </x:c>
      <x:c r="L693" s="14" t="n">
        <x:v>0.05</x:v>
      </x:c>
      <x:c r="M693" s="12" t="n">
        <x:f>IF(H693="Completed",I693*J693*(1-L693),0)</x:f>
        <x:v>82.80199999999999</x:v>
      </x:c>
      <x:c r="N693" s="12" t="n">
        <x:f>IF(H693="Completed",I693*K693,0)</x:f>
        <x:v>42.14</x:v>
      </x:c>
      <x:c r="O693" s="12" t="n">
        <x:f>M693-N693</x:f>
        <x:v>40.66199999999999</x:v>
      </x:c>
      <x:c r="P693" s="16" t="n">
        <x:f>IFERROR(O693/M693,0)</x:f>
        <x:v>0.49107509480447326</x:v>
      </x:c>
      <x:c r="Q693" t="n">
        <x:f>YEAR(B693)</x:f>
        <x:v>2025</x:v>
      </x:c>
      <x:c r="R693" t="str">
        <x:f>TEXT(B693,"yyyy-mm")</x:f>
        <x:v>2025-12</x:v>
      </x:c>
    </x:row>
    <x:row r="694">
      <x:c r="A694" t="n">
        <x:v>10787</x:v>
      </x:c>
      <x:c r="B694" s="10" t="n">
        <x:v>46004</x:v>
      </x:c>
      <x:c r="C694" t="str">
        <x:v>P008</x:v>
      </x:c>
      <x:c r="D694" t="str">
        <x:v>Webcam</x:v>
      </x:c>
      <x:c r="E694" t="str">
        <x:v>Electronics</x:v>
      </x:c>
      <x:c r="F694" t="str">
        <x:v>Wales</x:v>
      </x:c>
      <x:c r="G694" t="str">
        <x:v>Online</x:v>
      </x:c>
      <x:c r="H694" t="str">
        <x:v>Completed</x:v>
      </x:c>
      <x:c r="I694" t="n">
        <x:v>1</x:v>
      </x:c>
      <x:c r="J694" s="12" t="n">
        <x:v>89.9</x:v>
      </x:c>
      <x:c r="K694" s="12" t="n">
        <x:v>42.86</x:v>
      </x:c>
      <x:c r="L694" s="14" t="n">
        <x:v>0</x:v>
      </x:c>
      <x:c r="M694" s="12" t="n">
        <x:f>IF(H694="Completed",I694*J694*(1-L694),0)</x:f>
        <x:v>89.9</x:v>
      </x:c>
      <x:c r="N694" s="12" t="n">
        <x:f>IF(H694="Completed",I694*K694,0)</x:f>
        <x:v>42.86</x:v>
      </x:c>
      <x:c r="O694" s="12" t="n">
        <x:f>M694-N694</x:f>
        <x:v>47.040000000000006</x:v>
      </x:c>
      <x:c r="P694" s="16" t="n">
        <x:f>IFERROR(O694/M694,0)</x:f>
        <x:v>0.5232480533926586</x:v>
      </x:c>
      <x:c r="Q694" t="n">
        <x:f>YEAR(B694)</x:f>
        <x:v>2025</x:v>
      </x:c>
      <x:c r="R694" t="str">
        <x:f>TEXT(B694,"yyyy-mm")</x:f>
        <x:v>2025-12</x:v>
      </x:c>
    </x:row>
    <x:row r="695">
      <x:c r="A695" t="n">
        <x:v>10296</x:v>
      </x:c>
      <x:c r="B695" s="10" t="n">
        <x:v>46005</x:v>
      </x:c>
      <x:c r="C695" t="str">
        <x:v>P008</x:v>
      </x:c>
      <x:c r="D695" t="str">
        <x:v>Webcam</x:v>
      </x:c>
      <x:c r="E695" t="str">
        <x:v>Electronics</x:v>
      </x:c>
      <x:c r="F695" t="str">
        <x:v>North</x:v>
      </x:c>
      <x:c r="G695" t="str">
        <x:v>Online</x:v>
      </x:c>
      <x:c r="H695" t="str">
        <x:v>Completed</x:v>
      </x:c>
      <x:c r="I695" t="n">
        <x:v>3</x:v>
      </x:c>
      <x:c r="J695" s="12" t="n">
        <x:v>91.62</x:v>
      </x:c>
      <x:c r="K695" s="12" t="n">
        <x:v>42.52</x:v>
      </x:c>
      <x:c r="L695" s="14" t="n">
        <x:v>0</x:v>
      </x:c>
      <x:c r="M695" s="12" t="n">
        <x:f>IF(H695="Completed",I695*J695*(1-L695),0)</x:f>
        <x:v>274.86</x:v>
      </x:c>
      <x:c r="N695" s="12" t="n">
        <x:f>IF(H695="Completed",I695*K695,0)</x:f>
        <x:v>127.56</x:v>
      </x:c>
      <x:c r="O695" s="12" t="n">
        <x:f>M695-N695</x:f>
        <x:v>147.3</x:v>
      </x:c>
      <x:c r="P695" s="16" t="n">
        <x:f>IFERROR(O695/M695,0)</x:f>
        <x:v>0.5359091901331587</x:v>
      </x:c>
      <x:c r="Q695" t="n">
        <x:f>YEAR(B695)</x:f>
        <x:v>2025</x:v>
      </x:c>
      <x:c r="R695" t="str">
        <x:f>TEXT(B695,"yyyy-mm")</x:f>
        <x:v>2025-12</x:v>
      </x:c>
    </x:row>
    <x:row r="696">
      <x:c r="A696" t="n">
        <x:v>10544</x:v>
      </x:c>
      <x:c r="B696" s="10" t="n">
        <x:v>46006</x:v>
      </x:c>
      <x:c r="C696" t="str">
        <x:v>P003</x:v>
      </x:c>
      <x:c r="D696" t="str">
        <x:v>Keyboard</x:v>
      </x:c>
      <x:c r="E696" t="str">
        <x:v>Accessories</x:v>
      </x:c>
      <x:c r="F696" t="str">
        <x:v>South</x:v>
      </x:c>
      <x:c r="G696" t="str">
        <x:v>Retail</x:v>
      </x:c>
      <x:c r="H696" t="str">
        <x:v>Cancelled</x:v>
      </x:c>
      <x:c r="I696" t="n">
        <x:v>4</x:v>
      </x:c>
      <x:c r="J696" s="12" t="n">
        <x:v>49.33</x:v>
      </x:c>
      <x:c r="K696" s="12" t="n">
        <x:v>26.31</x:v>
      </x:c>
      <x:c r="L696" s="14" t="n">
        <x:v>0.05</x:v>
      </x:c>
      <x:c r="M696" s="12" t="n">
        <x:f>IF(H696="Completed",I696*J696*(1-L696),0)</x:f>
        <x:v>0</x:v>
      </x:c>
      <x:c r="N696" s="12" t="n">
        <x:f>IF(H696="Completed",I696*K696,0)</x:f>
        <x:v>0</x:v>
      </x:c>
      <x:c r="O696" s="12" t="n">
        <x:f>M696-N696</x:f>
        <x:v>0</x:v>
      </x:c>
      <x:c r="P696" s="16" t="n">
        <x:f>IFERROR(O696/M696,0)</x:f>
        <x:v>0</x:v>
      </x:c>
      <x:c r="Q696" t="n">
        <x:f>YEAR(B696)</x:f>
        <x:v>2025</x:v>
      </x:c>
      <x:c r="R696" t="str">
        <x:f>TEXT(B696,"yyyy-mm")</x:f>
        <x:v>2025-12</x:v>
      </x:c>
    </x:row>
    <x:row r="697">
      <x:c r="A697" t="n">
        <x:v>10649</x:v>
      </x:c>
      <x:c r="B697" s="10" t="n">
        <x:v>46008</x:v>
      </x:c>
      <x:c r="C697" t="str">
        <x:v>P006</x:v>
      </x:c>
      <x:c r="D697" t="str">
        <x:v>Chair</x:v>
      </x:c>
      <x:c r="E697" t="str">
        <x:v>Furniture</x:v>
      </x:c>
      <x:c r="F697" t="str">
        <x:v>Midlands</x:v>
      </x:c>
      <x:c r="G697" t="str">
        <x:v>Online</x:v>
      </x:c>
      <x:c r="H697" t="str">
        <x:v>Completed</x:v>
      </x:c>
      <x:c r="I697" t="n">
        <x:v>3</x:v>
      </x:c>
      <x:c r="J697" s="12" t="n">
        <x:v>134.27</x:v>
      </x:c>
      <x:c r="K697" s="12" t="n">
        <x:v>68.21</x:v>
      </x:c>
      <x:c r="L697" s="14" t="n">
        <x:v>0</x:v>
      </x:c>
      <x:c r="M697" s="12" t="n">
        <x:f>IF(H697="Completed",I697*J697*(1-L697),0)</x:f>
        <x:v>402.81000000000006</x:v>
      </x:c>
      <x:c r="N697" s="12" t="n">
        <x:f>IF(H697="Completed",I697*K697,0)</x:f>
        <x:v>204.63</x:v>
      </x:c>
      <x:c r="O697" s="12" t="n">
        <x:f>M697-N697</x:f>
        <x:v>198.18000000000006</x:v>
      </x:c>
      <x:c r="P697" s="16" t="n">
        <x:f>IFERROR(O697/M697,0)</x:f>
        <x:v>0.49199374394876005</x:v>
      </x:c>
      <x:c r="Q697" t="n">
        <x:f>YEAR(B697)</x:f>
        <x:v>2025</x:v>
      </x:c>
      <x:c r="R697" t="str">
        <x:f>TEXT(B697,"yyyy-mm")</x:f>
        <x:v>2025-12</x:v>
      </x:c>
    </x:row>
    <x:row r="698">
      <x:c r="A698" t="n">
        <x:v>10244</x:v>
      </x:c>
      <x:c r="B698" s="10" t="n">
        <x:v>46009</x:v>
      </x:c>
      <x:c r="C698" t="str">
        <x:v>P002</x:v>
      </x:c>
      <x:c r="D698" t="str">
        <x:v>Monitor</x:v>
      </x:c>
      <x:c r="E698" t="str">
        <x:v>Electronics</x:v>
      </x:c>
      <x:c r="F698" t="str">
        <x:v>Wales</x:v>
      </x:c>
      <x:c r="G698" t="str">
        <x:v>Online</x:v>
      </x:c>
      <x:c r="H698" t="str">
        <x:v>Completed</x:v>
      </x:c>
      <x:c r="I698" t="n">
        <x:v>1</x:v>
      </x:c>
      <x:c r="J698" s="12" t="n">
        <x:v>282.18</x:v>
      </x:c>
      <x:c r="K698" s="12" t="n">
        <x:v>168.13</x:v>
      </x:c>
      <x:c r="L698" s="14" t="n">
        <x:v>0</x:v>
      </x:c>
      <x:c r="M698" s="12" t="n">
        <x:f>IF(H698="Completed",I698*J698*(1-L698),0)</x:f>
        <x:v>282.18</x:v>
      </x:c>
      <x:c r="N698" s="12" t="n">
        <x:f>IF(H698="Completed",I698*K698,0)</x:f>
        <x:v>168.13</x:v>
      </x:c>
      <x:c r="O698" s="12" t="n">
        <x:f>M698-N698</x:f>
        <x:v>114.05000000000001</x:v>
      </x:c>
      <x:c r="P698" s="16" t="n">
        <x:f>IFERROR(O698/M698,0)</x:f>
        <x:v>0.4041746403005174</x:v>
      </x:c>
      <x:c r="Q698" t="n">
        <x:f>YEAR(B698)</x:f>
        <x:v>2025</x:v>
      </x:c>
      <x:c r="R698" t="str">
        <x:f>TEXT(B698,"yyyy-mm")</x:f>
        <x:v>2025-12</x:v>
      </x:c>
    </x:row>
    <x:row r="699">
      <x:c r="A699" t="n">
        <x:v>10871</x:v>
      </x:c>
      <x:c r="B699" s="10" t="n">
        <x:v>46009</x:v>
      </x:c>
      <x:c r="C699" t="str">
        <x:v>P005</x:v>
      </x:c>
      <x:c r="D699" t="str">
        <x:v>Desk</x:v>
      </x:c>
      <x:c r="E699" t="str">
        <x:v>Furniture</x:v>
      </x:c>
      <x:c r="F699" t="str">
        <x:v>Wales</x:v>
      </x:c>
      <x:c r="G699" t="str">
        <x:v>Online</x:v>
      </x:c>
      <x:c r="H699" t="str">
        <x:v>Completed</x:v>
      </x:c>
      <x:c r="I699" t="n">
        <x:v>3</x:v>
      </x:c>
      <x:c r="J699" s="12" t="n">
        <x:v>278.5</x:v>
      </x:c>
      <x:c r="K699" s="12" t="n">
        <x:v>153.04</x:v>
      </x:c>
      <x:c r="L699" s="14" t="n">
        <x:v>0.1</x:v>
      </x:c>
      <x:c r="M699" s="12" t="n">
        <x:f>IF(H699="Completed",I699*J699*(1-L699),0)</x:f>
        <x:v>751.95</x:v>
      </x:c>
      <x:c r="N699" s="12" t="n">
        <x:f>IF(H699="Completed",I699*K699,0)</x:f>
        <x:v>459.12</x:v>
      </x:c>
      <x:c r="O699" s="12" t="n">
        <x:f>M699-N699</x:f>
        <x:v>292.83000000000004</x:v>
      </x:c>
      <x:c r="P699" s="16" t="n">
        <x:f>IFERROR(O699/M699,0)</x:f>
        <x:v>0.3894274885298225</x:v>
      </x:c>
      <x:c r="Q699" t="n">
        <x:f>YEAR(B699)</x:f>
        <x:v>2025</x:v>
      </x:c>
      <x:c r="R699" t="str">
        <x:f>TEXT(B699,"yyyy-mm")</x:f>
        <x:v>2025-12</x:v>
      </x:c>
    </x:row>
    <x:row r="700">
      <x:c r="A700" t="n">
        <x:v>10490</x:v>
      </x:c>
      <x:c r="B700" s="10" t="n">
        <x:v>46012</x:v>
      </x:c>
      <x:c r="C700" t="str">
        <x:v>P005</x:v>
      </x:c>
      <x:c r="D700" t="str">
        <x:v>Desk</x:v>
      </x:c>
      <x:c r="E700" t="str">
        <x:v>Furniture</x:v>
      </x:c>
      <x:c r="F700" t="str">
        <x:v>South</x:v>
      </x:c>
      <x:c r="G700" t="str">
        <x:v>Retail</x:v>
      </x:c>
      <x:c r="H700" t="str">
        <x:v>Completed</x:v>
      </x:c>
      <x:c r="I700" t="n">
        <x:v>3</x:v>
      </x:c>
      <x:c r="J700" s="12" t="n">
        <x:v>274.04</x:v>
      </x:c>
      <x:c r="K700" s="12" t="n">
        <x:v>156.45</x:v>
      </x:c>
      <x:c r="L700" s="14" t="n">
        <x:v>0.15</x:v>
      </x:c>
      <x:c r="M700" s="12" t="n">
        <x:f>IF(H700="Completed",I700*J700*(1-L700),0)</x:f>
        <x:v>698.8020000000001</x:v>
      </x:c>
      <x:c r="N700" s="12" t="n">
        <x:f>IF(H700="Completed",I700*K700,0)</x:f>
        <x:v>469.34999999999997</x:v>
      </x:c>
      <x:c r="O700" s="12" t="n">
        <x:f>M700-N700</x:f>
        <x:v>229.45200000000017</x:v>
      </x:c>
      <x:c r="P700" s="16" t="n">
        <x:f>IFERROR(O700/M700,0)</x:f>
        <x:v>0.32835051988975433</x:v>
      </x:c>
      <x:c r="Q700" t="n">
        <x:f>YEAR(B700)</x:f>
        <x:v>2025</x:v>
      </x:c>
      <x:c r="R700" t="str">
        <x:f>TEXT(B700,"yyyy-mm")</x:f>
        <x:v>2025-12</x:v>
      </x:c>
    </x:row>
    <x:row r="701">
      <x:c r="A701" t="n">
        <x:v>10353</x:v>
      </x:c>
      <x:c r="B701" s="10" t="n">
        <x:v>46013</x:v>
      </x:c>
      <x:c r="C701" t="str">
        <x:v>P001</x:v>
      </x:c>
      <x:c r="D701" t="str">
        <x:v>Laptop</x:v>
      </x:c>
      <x:c r="E701" t="str">
        <x:v>Electronics</x:v>
      </x:c>
      <x:c r="F701" t="str">
        <x:v>Scotland</x:v>
      </x:c>
      <x:c r="G701" t="str">
        <x:v>Online</x:v>
      </x:c>
      <x:c r="H701" t="str">
        <x:v>Completed</x:v>
      </x:c>
      <x:c r="I701" t="n">
        <x:v>2</x:v>
      </x:c>
      <x:c r="J701" s="12" t="n">
        <x:v>908.39</x:v>
      </x:c>
      <x:c r="K701" s="12" t="n">
        <x:v>618.63</x:v>
      </x:c>
      <x:c r="L701" s="14" t="n">
        <x:v>0.15</x:v>
      </x:c>
      <x:c r="M701" s="12" t="n">
        <x:f>IF(H701="Completed",I701*J701*(1-L701),0)</x:f>
        <x:v>1544.263</x:v>
      </x:c>
      <x:c r="N701" s="12" t="n">
        <x:f>IF(H701="Completed",I701*K701,0)</x:f>
        <x:v>1237.26</x:v>
      </x:c>
      <x:c r="O701" s="12" t="n">
        <x:f>M701-N701</x:f>
        <x:v>307.00299999999993</x:v>
      </x:c>
      <x:c r="P701" s="16" t="n">
        <x:f>IFERROR(O701/M701,0)</x:f>
        <x:v>0.19880227655522403</x:v>
      </x:c>
      <x:c r="Q701" t="n">
        <x:f>YEAR(B701)</x:f>
        <x:v>2025</x:v>
      </x:c>
      <x:c r="R701" t="str">
        <x:f>TEXT(B701,"yyyy-mm")</x:f>
        <x:v>2025-12</x:v>
      </x:c>
    </x:row>
    <x:row r="702">
      <x:c r="A702" t="n">
        <x:v>10611</x:v>
      </x:c>
      <x:c r="B702" s="10" t="n">
        <x:v>46013</x:v>
      </x:c>
      <x:c r="C702" t="str">
        <x:v>P001</x:v>
      </x:c>
      <x:c r="D702" t="str">
        <x:v>Laptop</x:v>
      </x:c>
      <x:c r="E702" t="str">
        <x:v>Electronics</x:v>
      </x:c>
      <x:c r="F702" t="str">
        <x:v>Midlands</x:v>
      </x:c>
      <x:c r="G702" t="str">
        <x:v>Retail</x:v>
      </x:c>
      <x:c r="H702" t="str">
        <x:v>Completed</x:v>
      </x:c>
      <x:c r="I702" t="n">
        <x:v>1</x:v>
      </x:c>
      <x:c r="J702" s="12" t="n">
        <x:v>925.8</x:v>
      </x:c>
      <x:c r="K702" s="12" t="n">
        <x:v>619.86</x:v>
      </x:c>
      <x:c r="L702" s="14" t="n">
        <x:v>0</x:v>
      </x:c>
      <x:c r="M702" s="12" t="n">
        <x:f>IF(H702="Completed",I702*J702*(1-L702),0)</x:f>
        <x:v>925.8</x:v>
      </x:c>
      <x:c r="N702" s="12" t="n">
        <x:f>IF(H702="Completed",I702*K702,0)</x:f>
        <x:v>619.86</x:v>
      </x:c>
      <x:c r="O702" s="12" t="n">
        <x:f>M702-N702</x:f>
        <x:v>305.93999999999994</x:v>
      </x:c>
      <x:c r="P702" s="16" t="n">
        <x:f>IFERROR(O702/M702,0)</x:f>
        <x:v>0.33046014257939077</x:v>
      </x:c>
      <x:c r="Q702" t="n">
        <x:f>YEAR(B702)</x:f>
        <x:v>2025</x:v>
      </x:c>
      <x:c r="R702" t="str">
        <x:f>TEXT(B702,"yyyy-mm")</x:f>
        <x:v>2025-12</x:v>
      </x:c>
    </x:row>
    <x:row r="703">
      <x:c r="A703" t="n">
        <x:v>10725</x:v>
      </x:c>
      <x:c r="B703" s="10" t="n">
        <x:v>46013</x:v>
      </x:c>
      <x:c r="C703" t="str">
        <x:v>P002</x:v>
      </x:c>
      <x:c r="D703" t="str">
        <x:v>Monitor</x:v>
      </x:c>
      <x:c r="E703" t="str">
        <x:v>Electronics</x:v>
      </x:c>
      <x:c r="F703" t="str">
        <x:v>North</x:v>
      </x:c>
      <x:c r="G703" t="str">
        <x:v>Online</x:v>
      </x:c>
      <x:c r="H703" t="str">
        <x:v>Cancelled</x:v>
      </x:c>
      <x:c r="I703" t="n">
        <x:v>2</x:v>
      </x:c>
      <x:c r="J703" s="12" t="n">
        <x:v>289.4</x:v>
      </x:c>
      <x:c r="K703" s="12" t="n">
        <x:v>172.87</x:v>
      </x:c>
      <x:c r="L703" s="14" t="n">
        <x:v>0</x:v>
      </x:c>
      <x:c r="M703" s="12" t="n">
        <x:f>IF(H703="Completed",I703*J703*(1-L703),0)</x:f>
        <x:v>0</x:v>
      </x:c>
      <x:c r="N703" s="12" t="n">
        <x:f>IF(H703="Completed",I703*K703,0)</x:f>
        <x:v>0</x:v>
      </x:c>
      <x:c r="O703" s="12" t="n">
        <x:f>M703-N703</x:f>
        <x:v>0</x:v>
      </x:c>
      <x:c r="P703" s="16" t="n">
        <x:f>IFERROR(O703/M703,0)</x:f>
        <x:v>0</x:v>
      </x:c>
      <x:c r="Q703" t="n">
        <x:f>YEAR(B703)</x:f>
        <x:v>2025</x:v>
      </x:c>
      <x:c r="R703" t="str">
        <x:f>TEXT(B703,"yyyy-mm")</x:f>
        <x:v>2025-12</x:v>
      </x:c>
    </x:row>
    <x:row r="704">
      <x:c r="A704" t="n">
        <x:v>10844</x:v>
      </x:c>
      <x:c r="B704" s="10" t="n">
        <x:v>46013</x:v>
      </x:c>
      <x:c r="C704" t="str">
        <x:v>P005</x:v>
      </x:c>
      <x:c r="D704" t="str">
        <x:v>Desk</x:v>
      </x:c>
      <x:c r="E704" t="str">
        <x:v>Furniture</x:v>
      </x:c>
      <x:c r="F704" t="str">
        <x:v>South</x:v>
      </x:c>
      <x:c r="G704" t="str">
        <x:v>Online</x:v>
      </x:c>
      <x:c r="H704" t="str">
        <x:v>Completed</x:v>
      </x:c>
      <x:c r="I704" t="n">
        <x:v>3</x:v>
      </x:c>
      <x:c r="J704" s="12" t="n">
        <x:v>282.3</x:v>
      </x:c>
      <x:c r="K704" s="12" t="n">
        <x:v>154.55</x:v>
      </x:c>
      <x:c r="L704" s="14" t="n">
        <x:v>0.1</x:v>
      </x:c>
      <x:c r="M704" s="12" t="n">
        <x:f>IF(H704="Completed",I704*J704*(1-L704),0)</x:f>
        <x:v>762.2100000000002</x:v>
      </x:c>
      <x:c r="N704" s="12" t="n">
        <x:f>IF(H704="Completed",I704*K704,0)</x:f>
        <x:v>463.65000000000003</x:v>
      </x:c>
      <x:c r="O704" s="12" t="n">
        <x:f>M704-N704</x:f>
        <x:v>298.5600000000001</x:v>
      </x:c>
      <x:c r="P704" s="16" t="n">
        <x:f>IFERROR(O704/M704,0)</x:f>
        <x:v>0.39170307395599646</x:v>
      </x:c>
      <x:c r="Q704" t="n">
        <x:f>YEAR(B704)</x:f>
        <x:v>2025</x:v>
      </x:c>
      <x:c r="R704" t="str">
        <x:f>TEXT(B704,"yyyy-mm")</x:f>
        <x:v>2025-12</x:v>
      </x:c>
    </x:row>
    <x:row r="705">
      <x:c r="A705" t="n">
        <x:v>10088</x:v>
      </x:c>
      <x:c r="B705" s="10" t="n">
        <x:v>46015</x:v>
      </x:c>
      <x:c r="C705" t="str">
        <x:v>P005</x:v>
      </x:c>
      <x:c r="D705" t="str">
        <x:v>Desk</x:v>
      </x:c>
      <x:c r="E705" t="str">
        <x:v>Furniture</x:v>
      </x:c>
      <x:c r="F705" t="str">
        <x:v>North</x:v>
      </x:c>
      <x:c r="G705" t="str">
        <x:v>Online</x:v>
      </x:c>
      <x:c r="H705" t="str">
        <x:v>Completed</x:v>
      </x:c>
      <x:c r="I705" t="n">
        <x:v>4</x:v>
      </x:c>
      <x:c r="J705" s="12" t="n">
        <x:v>278.1</x:v>
      </x:c>
      <x:c r="K705" s="12" t="n">
        <x:v>158.13</x:v>
      </x:c>
      <x:c r="L705" s="14" t="n">
        <x:v>0.15</x:v>
      </x:c>
      <x:c r="M705" s="12" t="n">
        <x:f>IF(H705="Completed",I705*J705*(1-L705),0)</x:f>
        <x:v>945.5400000000001</x:v>
      </x:c>
      <x:c r="N705" s="12" t="n">
        <x:f>IF(H705="Completed",I705*K705,0)</x:f>
        <x:v>632.52</x:v>
      </x:c>
      <x:c r="O705" s="12" t="n">
        <x:f>M705-N705</x:f>
        <x:v>313.0200000000001</x:v>
      </x:c>
      <x:c r="P705" s="16" t="n">
        <x:f>IFERROR(O705/M705,0)</x:f>
        <x:v>0.33104892442413864</x:v>
      </x:c>
      <x:c r="Q705" t="n">
        <x:f>YEAR(B705)</x:f>
        <x:v>2025</x:v>
      </x:c>
      <x:c r="R705" t="str">
        <x:f>TEXT(B705,"yyyy-mm")</x:f>
        <x:v>2025-12</x:v>
      </x:c>
    </x:row>
    <x:row r="706">
      <x:c r="A706" t="n">
        <x:v>10409</x:v>
      </x:c>
      <x:c r="B706" s="10" t="n">
        <x:v>46017</x:v>
      </x:c>
      <x:c r="C706" t="str">
        <x:v>P004</x:v>
      </x:c>
      <x:c r="D706" t="str">
        <x:v>Mouse</x:v>
      </x:c>
      <x:c r="E706" t="str">
        <x:v>Accessories</x:v>
      </x:c>
      <x:c r="F706" t="str">
        <x:v>South</x:v>
      </x:c>
      <x:c r="G706" t="str">
        <x:v>Online</x:v>
      </x:c>
      <x:c r="H706" t="str">
        <x:v>Cancelled</x:v>
      </x:c>
      <x:c r="I706" t="n">
        <x:v>3</x:v>
      </x:c>
      <x:c r="J706" s="12" t="n">
        <x:v>27.67</x:v>
      </x:c>
      <x:c r="K706" s="12" t="n">
        <x:v>13.33</x:v>
      </x:c>
      <x:c r="L706" s="14" t="n">
        <x:v>0.15</x:v>
      </x:c>
      <x:c r="M706" s="12" t="n">
        <x:f>IF(H706="Completed",I706*J706*(1-L706),0)</x:f>
        <x:v>0</x:v>
      </x:c>
      <x:c r="N706" s="12" t="n">
        <x:f>IF(H706="Completed",I706*K706,0)</x:f>
        <x:v>0</x:v>
      </x:c>
      <x:c r="O706" s="12" t="n">
        <x:f>M706-N706</x:f>
        <x:v>0</x:v>
      </x:c>
      <x:c r="P706" s="16" t="n">
        <x:f>IFERROR(O706/M706,0)</x:f>
        <x:v>0</x:v>
      </x:c>
      <x:c r="Q706" t="n">
        <x:f>YEAR(B706)</x:f>
        <x:v>2025</x:v>
      </x:c>
      <x:c r="R706" t="str">
        <x:f>TEXT(B706,"yyyy-mm")</x:f>
        <x:v>2025-12</x:v>
      </x:c>
    </x:row>
    <x:row r="707">
      <x:c r="A707" t="n">
        <x:v>10648</x:v>
      </x:c>
      <x:c r="B707" s="10" t="n">
        <x:v>46019</x:v>
      </x:c>
      <x:c r="C707" t="str">
        <x:v>P008</x:v>
      </x:c>
      <x:c r="D707" t="str">
        <x:v>Webcam</x:v>
      </x:c>
      <x:c r="E707" t="str">
        <x:v>Electronics</x:v>
      </x:c>
      <x:c r="F707" t="str">
        <x:v>North</x:v>
      </x:c>
      <x:c r="G707" t="str">
        <x:v>Online</x:v>
      </x:c>
      <x:c r="H707" t="str">
        <x:v>Cancelled</x:v>
      </x:c>
      <x:c r="I707" t="n">
        <x:v>4</x:v>
      </x:c>
      <x:c r="J707" s="12" t="n">
        <x:v>92.02</x:v>
      </x:c>
      <x:c r="K707" s="12" t="n">
        <x:v>41.98</x:v>
      </x:c>
      <x:c r="L707" s="14" t="n">
        <x:v>0</x:v>
      </x:c>
      <x:c r="M707" s="12" t="n">
        <x:f>IF(H707="Completed",I707*J707*(1-L707),0)</x:f>
        <x:v>0</x:v>
      </x:c>
      <x:c r="N707" s="12" t="n">
        <x:f>IF(H707="Completed",I707*K707,0)</x:f>
        <x:v>0</x:v>
      </x:c>
      <x:c r="O707" s="12" t="n">
        <x:f>M707-N707</x:f>
        <x:v>0</x:v>
      </x:c>
      <x:c r="P707" s="16" t="n">
        <x:f>IFERROR(O707/M707,0)</x:f>
        <x:v>0</x:v>
      </x:c>
      <x:c r="Q707" t="n">
        <x:f>YEAR(B707)</x:f>
        <x:v>2025</x:v>
      </x:c>
      <x:c r="R707" t="str">
        <x:f>TEXT(B707,"yyyy-mm")</x:f>
        <x:v>2025-12</x:v>
      </x:c>
    </x:row>
    <x:row r="708">
      <x:c r="A708" t="n">
        <x:v>10314</x:v>
      </x:c>
      <x:c r="B708" s="10" t="n">
        <x:v>46020</x:v>
      </x:c>
      <x:c r="C708" t="str">
        <x:v>P006</x:v>
      </x:c>
      <x:c r="D708" t="str">
        <x:v>Chair</x:v>
      </x:c>
      <x:c r="E708" t="str">
        <x:v>Furniture</x:v>
      </x:c>
      <x:c r="F708" t="str">
        <x:v>Scotland</x:v>
      </x:c>
      <x:c r="G708" t="str">
        <x:v>Retail</x:v>
      </x:c>
      <x:c r="H708" t="str">
        <x:v>Completed</x:v>
      </x:c>
      <x:c r="I708" t="n">
        <x:v>2</x:v>
      </x:c>
      <x:c r="J708" s="12" t="n">
        <x:v>136.41</x:v>
      </x:c>
      <x:c r="K708" s="12" t="n">
        <x:v>67.55</x:v>
      </x:c>
      <x:c r="L708" s="14" t="n">
        <x:v>0</x:v>
      </x:c>
      <x:c r="M708" s="12" t="n">
        <x:f>IF(H708="Completed",I708*J708*(1-L708),0)</x:f>
        <x:v>272.82</x:v>
      </x:c>
      <x:c r="N708" s="12" t="n">
        <x:f>IF(H708="Completed",I708*K708,0)</x:f>
        <x:v>135.1</x:v>
      </x:c>
      <x:c r="O708" s="12" t="n">
        <x:f>M708-N708</x:f>
        <x:v>137.72</x:v>
      </x:c>
      <x:c r="P708" s="16" t="n">
        <x:f>IFERROR(O708/M708,0)</x:f>
        <x:v>0.5048017007550766</x:v>
      </x:c>
      <x:c r="Q708" t="n">
        <x:f>YEAR(B708)</x:f>
        <x:v>2025</x:v>
      </x:c>
      <x:c r="R708" t="str">
        <x:f>TEXT(B708,"yyyy-mm")</x:f>
        <x:v>2025-12</x:v>
      </x:c>
    </x:row>
    <x:row r="709">
      <x:c r="A709" t="n">
        <x:v>10019</x:v>
      </x:c>
      <x:c r="B709" s="10" t="n">
        <x:v>46022</x:v>
      </x:c>
      <x:c r="C709" t="str">
        <x:v>P005</x:v>
      </x:c>
      <x:c r="D709" t="str">
        <x:v>Desk</x:v>
      </x:c>
      <x:c r="E709" t="str">
        <x:v>Furniture</x:v>
      </x:c>
      <x:c r="F709" t="str">
        <x:v>Wales</x:v>
      </x:c>
      <x:c r="G709" t="str">
        <x:v>Retail</x:v>
      </x:c>
      <x:c r="H709" t="str">
        <x:v>Completed</x:v>
      </x:c>
      <x:c r="I709" t="n">
        <x:v>4</x:v>
      </x:c>
      <x:c r="J709" s="12" t="n">
        <x:v>275.44</x:v>
      </x:c>
      <x:c r="K709" s="12" t="n">
        <x:v>153.82</x:v>
      </x:c>
      <x:c r="L709" s="14" t="n">
        <x:v>0.1</x:v>
      </x:c>
      <x:c r="M709" s="12" t="n">
        <x:f>IF(H709="Completed",I709*J709*(1-L709),0)</x:f>
        <x:v>991.5840000000001</x:v>
      </x:c>
      <x:c r="N709" s="12" t="n">
        <x:f>IF(H709="Completed",I709*K709,0)</x:f>
        <x:v>615.28</x:v>
      </x:c>
      <x:c r="O709" s="12" t="n">
        <x:f>M709-N709</x:f>
        <x:v>376.3040000000001</x:v>
      </x:c>
      <x:c r="P709" s="16" t="n">
        <x:f>IFERROR(O709/M709,0)</x:f>
        <x:v>0.3794978539387486</x:v>
      </x:c>
      <x:c r="Q709" t="n">
        <x:f>YEAR(B709)</x:f>
        <x:v>2025</x:v>
      </x:c>
      <x:c r="R709" t="str">
        <x:f>TEXT(B709,"yyyy-mm")</x:f>
        <x:v>2025-12</x:v>
      </x:c>
    </x:row>
    <x:row r="710">
      <x:c r="A710" t="n">
        <x:v>10159</x:v>
      </x:c>
      <x:c r="B710" s="10" t="n">
        <x:v>46023</x:v>
      </x:c>
      <x:c r="C710" t="str">
        <x:v>P002</x:v>
      </x:c>
      <x:c r="D710" t="str">
        <x:v>Monitor</x:v>
      </x:c>
      <x:c r="E710" t="str">
        <x:v>Electronics</x:v>
      </x:c>
      <x:c r="F710" t="str">
        <x:v>North</x:v>
      </x:c>
      <x:c r="G710" t="str">
        <x:v>Retail</x:v>
      </x:c>
      <x:c r="H710" t="str">
        <x:v>Completed</x:v>
      </x:c>
      <x:c r="I710" t="n">
        <x:v>2</x:v>
      </x:c>
      <x:c r="J710" s="12" t="n">
        <x:v>286.88</x:v>
      </x:c>
      <x:c r="K710" s="12" t="n">
        <x:v>167.95</x:v>
      </x:c>
      <x:c r="L710" s="14" t="n">
        <x:v>0.1</x:v>
      </x:c>
      <x:c r="M710" s="12" t="n">
        <x:f>IF(H710="Completed",I710*J710*(1-L710),0)</x:f>
        <x:v>516.384</x:v>
      </x:c>
      <x:c r="N710" s="12" t="n">
        <x:f>IF(H710="Completed",I710*K710,0)</x:f>
        <x:v>335.9</x:v>
      </x:c>
      <x:c r="O710" s="12" t="n">
        <x:f>M710-N710</x:f>
        <x:v>180.48400000000004</x:v>
      </x:c>
      <x:c r="P710" s="16" t="n">
        <x:f>IFERROR(O710/M710,0)</x:f>
        <x:v>0.34951508954576443</x:v>
      </x:c>
      <x:c r="Q710" t="n">
        <x:f>YEAR(B710)</x:f>
        <x:v>2026</x:v>
      </x:c>
      <x:c r="R710" t="str">
        <x:f>TEXT(B710,"yyyy-mm")</x:f>
        <x:v>2026-01</x:v>
      </x:c>
    </x:row>
    <x:row r="711">
      <x:c r="A711" t="n">
        <x:v>10003</x:v>
      </x:c>
      <x:c r="B711" s="10" t="n">
        <x:v>46025</x:v>
      </x:c>
      <x:c r="C711" t="str">
        <x:v>P007</x:v>
      </x:c>
      <x:c r="D711" t="str">
        <x:v>Headset</x:v>
      </x:c>
      <x:c r="E711" t="str">
        <x:v>Accessories</x:v>
      </x:c>
      <x:c r="F711" t="str">
        <x:v>Midlands</x:v>
      </x:c>
      <x:c r="G711" t="str">
        <x:v>Online</x:v>
      </x:c>
      <x:c r="H711" t="str">
        <x:v>Completed</x:v>
      </x:c>
      <x:c r="I711" t="n">
        <x:v>2</x:v>
      </x:c>
      <x:c r="J711" s="12" t="n">
        <x:v>73.36</x:v>
      </x:c>
      <x:c r="K711" s="12" t="n">
        <x:v>34.9</x:v>
      </x:c>
      <x:c r="L711" s="14" t="n">
        <x:v>0</x:v>
      </x:c>
      <x:c r="M711" s="12" t="n">
        <x:f>IF(H711="Completed",I711*J711*(1-L711),0)</x:f>
        <x:v>146.72</x:v>
      </x:c>
      <x:c r="N711" s="12" t="n">
        <x:f>IF(H711="Completed",I711*K711,0)</x:f>
        <x:v>69.8</x:v>
      </x:c>
      <x:c r="O711" s="12" t="n">
        <x:f>M711-N711</x:f>
        <x:v>76.92</x:v>
      </x:c>
      <x:c r="P711" s="16" t="n">
        <x:f>IFERROR(O711/M711,0)</x:f>
        <x:v>0.5242639040348964</x:v>
      </x:c>
      <x:c r="Q711" t="n">
        <x:f>YEAR(B711)</x:f>
        <x:v>2026</x:v>
      </x:c>
      <x:c r="R711" t="str">
        <x:f>TEXT(B711,"yyyy-mm")</x:f>
        <x:v>2026-01</x:v>
      </x:c>
    </x:row>
    <x:row r="712">
      <x:c r="A712" t="n">
        <x:v>10032</x:v>
      </x:c>
      <x:c r="B712" s="10" t="n">
        <x:v>46025</x:v>
      </x:c>
      <x:c r="C712" t="str">
        <x:v>P006</x:v>
      </x:c>
      <x:c r="D712" t="str">
        <x:v>Chair</x:v>
      </x:c>
      <x:c r="E712" t="str">
        <x:v>Furniture</x:v>
      </x:c>
      <x:c r="F712" t="str">
        <x:v>Midlands</x:v>
      </x:c>
      <x:c r="G712" t="str">
        <x:v>Online</x:v>
      </x:c>
      <x:c r="H712" t="str">
        <x:v>Completed</x:v>
      </x:c>
      <x:c r="I712" t="n">
        <x:v>2</x:v>
      </x:c>
      <x:c r="J712" s="12" t="n">
        <x:v>133.94</x:v>
      </x:c>
      <x:c r="K712" s="12" t="n">
        <x:v>69.2</x:v>
      </x:c>
      <x:c r="L712" s="14" t="n">
        <x:v>0.05</x:v>
      </x:c>
      <x:c r="M712" s="12" t="n">
        <x:f>IF(H712="Completed",I712*J712*(1-L712),0)</x:f>
        <x:v>254.486</x:v>
      </x:c>
      <x:c r="N712" s="12" t="n">
        <x:f>IF(H712="Completed",I712*K712,0)</x:f>
        <x:v>138.4</x:v>
      </x:c>
      <x:c r="O712" s="12" t="n">
        <x:f>M712-N712</x:f>
        <x:v>116.08599999999998</x:v>
      </x:c>
      <x:c r="P712" s="16" t="n">
        <x:f>IFERROR(O712/M712,0)</x:f>
        <x:v>0.45615868849366953</x:v>
      </x:c>
      <x:c r="Q712" t="n">
        <x:f>YEAR(B712)</x:f>
        <x:v>2026</x:v>
      </x:c>
      <x:c r="R712" t="str">
        <x:f>TEXT(B712,"yyyy-mm")</x:f>
        <x:v>2026-01</x:v>
      </x:c>
    </x:row>
    <x:row r="713">
      <x:c r="A713" t="n">
        <x:v>10197</x:v>
      </x:c>
      <x:c r="B713" s="10" t="n">
        <x:v>46026</x:v>
      </x:c>
      <x:c r="C713" t="str">
        <x:v>P008</x:v>
      </x:c>
      <x:c r="D713" t="str">
        <x:v>Webcam</x:v>
      </x:c>
      <x:c r="E713" t="str">
        <x:v>Electronics</x:v>
      </x:c>
      <x:c r="F713" t="str">
        <x:v>Scotland</x:v>
      </x:c>
      <x:c r="G713" t="str">
        <x:v>Retail</x:v>
      </x:c>
      <x:c r="H713" t="str">
        <x:v>Completed</x:v>
      </x:c>
      <x:c r="I713" t="n">
        <x:v>4</x:v>
      </x:c>
      <x:c r="J713" s="12" t="n">
        <x:v>92.39</x:v>
      </x:c>
      <x:c r="K713" s="12" t="n">
        <x:v>42.51</x:v>
      </x:c>
      <x:c r="L713" s="14" t="n">
        <x:v>0</x:v>
      </x:c>
      <x:c r="M713" s="12" t="n">
        <x:f>IF(H713="Completed",I713*J713*(1-L713),0)</x:f>
        <x:v>369.56</x:v>
      </x:c>
      <x:c r="N713" s="12" t="n">
        <x:f>IF(H713="Completed",I713*K713,0)</x:f>
        <x:v>170.04</x:v>
      </x:c>
      <x:c r="O713" s="12" t="n">
        <x:f>M713-N713</x:f>
        <x:v>199.52</x:v>
      </x:c>
      <x:c r="P713" s="16" t="n">
        <x:f>IFERROR(O713/M713,0)</x:f>
        <x:v>0.5398852689685031</x:v>
      </x:c>
      <x:c r="Q713" t="n">
        <x:f>YEAR(B713)</x:f>
        <x:v>2026</x:v>
      </x:c>
      <x:c r="R713" t="str">
        <x:f>TEXT(B713,"yyyy-mm")</x:f>
        <x:v>2026-01</x:v>
      </x:c>
    </x:row>
    <x:row r="714">
      <x:c r="A714" t="n">
        <x:v>10069</x:v>
      </x:c>
      <x:c r="B714" s="10" t="n">
        <x:v>46027</x:v>
      </x:c>
      <x:c r="C714" t="str">
        <x:v>P002</x:v>
      </x:c>
      <x:c r="D714" t="str">
        <x:v>Monitor</x:v>
      </x:c>
      <x:c r="E714" t="str">
        <x:v>Electronics</x:v>
      </x:c>
      <x:c r="F714" t="str">
        <x:v>Wales</x:v>
      </x:c>
      <x:c r="G714" t="str">
        <x:v>Online</x:v>
      </x:c>
      <x:c r="H714" t="str">
        <x:v>Completed</x:v>
      </x:c>
      <x:c r="I714" t="n">
        <x:v>2</x:v>
      </x:c>
      <x:c r="J714" s="12" t="n">
        <x:v>287.94</x:v>
      </x:c>
      <x:c r="K714" s="12" t="n">
        <x:v>174.32</x:v>
      </x:c>
      <x:c r="L714" s="14" t="n">
        <x:v>0</x:v>
      </x:c>
      <x:c r="M714" s="12" t="n">
        <x:f>IF(H714="Completed",I714*J714*(1-L714),0)</x:f>
        <x:v>575.88</x:v>
      </x:c>
      <x:c r="N714" s="12" t="n">
        <x:f>IF(H714="Completed",I714*K714,0)</x:f>
        <x:v>348.64</x:v>
      </x:c>
      <x:c r="O714" s="12" t="n">
        <x:f>M714-N714</x:f>
        <x:v>227.24</x:v>
      </x:c>
      <x:c r="P714" s="16" t="n">
        <x:f>IFERROR(O714/M714,0)</x:f>
        <x:v>0.3945960964089741</x:v>
      </x:c>
      <x:c r="Q714" t="n">
        <x:f>YEAR(B714)</x:f>
        <x:v>2026</x:v>
      </x:c>
      <x:c r="R714" t="str">
        <x:f>TEXT(B714,"yyyy-mm")</x:f>
        <x:v>2026-01</x:v>
      </x:c>
    </x:row>
    <x:row r="715">
      <x:c r="A715" t="n">
        <x:v>10049</x:v>
      </x:c>
      <x:c r="B715" s="10" t="n">
        <x:v>46029</x:v>
      </x:c>
      <x:c r="C715" t="str">
        <x:v>P005</x:v>
      </x:c>
      <x:c r="D715" t="str">
        <x:v>Desk</x:v>
      </x:c>
      <x:c r="E715" t="str">
        <x:v>Furniture</x:v>
      </x:c>
      <x:c r="F715" t="str">
        <x:v>South</x:v>
      </x:c>
      <x:c r="G715" t="str">
        <x:v>Online</x:v>
      </x:c>
      <x:c r="H715" t="str">
        <x:v>Completed</x:v>
      </x:c>
      <x:c r="I715" t="n">
        <x:v>3</x:v>
      </x:c>
      <x:c r="J715" s="12" t="n">
        <x:v>269.2</x:v>
      </x:c>
      <x:c r="K715" s="12" t="n">
        <x:v>155.16</x:v>
      </x:c>
      <x:c r="L715" s="14" t="n">
        <x:v>0.1</x:v>
      </x:c>
      <x:c r="M715" s="12" t="n">
        <x:f>IF(H715="Completed",I715*J715*(1-L715),0)</x:f>
        <x:v>726.8399999999999</x:v>
      </x:c>
      <x:c r="N715" s="12" t="n">
        <x:f>IF(H715="Completed",I715*K715,0)</x:f>
        <x:v>465.48</x:v>
      </x:c>
      <x:c r="O715" s="12" t="n">
        <x:f>M715-N715</x:f>
        <x:v>261.3599999999999</x:v>
      </x:c>
      <x:c r="P715" s="16" t="n">
        <x:f>IFERROR(O715/M715,0)</x:f>
        <x:v>0.35958395245170865</x:v>
      </x:c>
      <x:c r="Q715" t="n">
        <x:f>YEAR(B715)</x:f>
        <x:v>2026</x:v>
      </x:c>
      <x:c r="R715" t="str">
        <x:f>TEXT(B715,"yyyy-mm")</x:f>
        <x:v>2026-01</x:v>
      </x:c>
    </x:row>
    <x:row r="716">
      <x:c r="A716" t="n">
        <x:v>10494</x:v>
      </x:c>
      <x:c r="B716" s="10" t="n">
        <x:v>46029</x:v>
      </x:c>
      <x:c r="C716" t="str">
        <x:v>P002</x:v>
      </x:c>
      <x:c r="D716" t="str">
        <x:v>Monitor</x:v>
      </x:c>
      <x:c r="E716" t="str">
        <x:v>Electronics</x:v>
      </x:c>
      <x:c r="F716" t="str">
        <x:v>South</x:v>
      </x:c>
      <x:c r="G716" t="str">
        <x:v>Online</x:v>
      </x:c>
      <x:c r="H716" t="str">
        <x:v>Cancelled</x:v>
      </x:c>
      <x:c r="I716" t="n">
        <x:v>4</x:v>
      </x:c>
      <x:c r="J716" s="12" t="n">
        <x:v>289.36</x:v>
      </x:c>
      <x:c r="K716" s="12" t="n">
        <x:v>170.09</x:v>
      </x:c>
      <x:c r="L716" s="14" t="n">
        <x:v>0</x:v>
      </x:c>
      <x:c r="M716" s="12" t="n">
        <x:f>IF(H716="Completed",I716*J716*(1-L716),0)</x:f>
        <x:v>0</x:v>
      </x:c>
      <x:c r="N716" s="12" t="n">
        <x:f>IF(H716="Completed",I716*K716,0)</x:f>
        <x:v>0</x:v>
      </x:c>
      <x:c r="O716" s="12" t="n">
        <x:f>M716-N716</x:f>
        <x:v>0</x:v>
      </x:c>
      <x:c r="P716" s="16" t="n">
        <x:f>IFERROR(O716/M716,0)</x:f>
        <x:v>0</x:v>
      </x:c>
      <x:c r="Q716" t="n">
        <x:f>YEAR(B716)</x:f>
        <x:v>2026</x:v>
      </x:c>
      <x:c r="R716" t="str">
        <x:f>TEXT(B716,"yyyy-mm")</x:f>
        <x:v>2026-01</x:v>
      </x:c>
    </x:row>
    <x:row r="717">
      <x:c r="A717" t="n">
        <x:v>10136</x:v>
      </x:c>
      <x:c r="B717" s="10" t="n">
        <x:v>46030</x:v>
      </x:c>
      <x:c r="C717" t="str">
        <x:v>P004</x:v>
      </x:c>
      <x:c r="D717" t="str">
        <x:v>Mouse</x:v>
      </x:c>
      <x:c r="E717" t="str">
        <x:v>Accessories</x:v>
      </x:c>
      <x:c r="F717" t="str">
        <x:v>Midlands</x:v>
      </x:c>
      <x:c r="G717" t="str">
        <x:v>Online</x:v>
      </x:c>
      <x:c r="H717" t="str">
        <x:v>Completed</x:v>
      </x:c>
      <x:c r="I717" t="n">
        <x:v>4</x:v>
      </x:c>
      <x:c r="J717" s="12" t="n">
        <x:v>26.94</x:v>
      </x:c>
      <x:c r="K717" s="12" t="n">
        <x:v>13.21</x:v>
      </x:c>
      <x:c r="L717" s="14" t="n">
        <x:v>0.05</x:v>
      </x:c>
      <x:c r="M717" s="12" t="n">
        <x:f>IF(H717="Completed",I717*J717*(1-L717),0)</x:f>
        <x:v>102.372</x:v>
      </x:c>
      <x:c r="N717" s="12" t="n">
        <x:f>IF(H717="Completed",I717*K717,0)</x:f>
        <x:v>52.84</x:v>
      </x:c>
      <x:c r="O717" s="12" t="n">
        <x:f>M717-N717</x:f>
        <x:v>49.532</x:v>
      </x:c>
      <x:c r="P717" s="16" t="n">
        <x:f>IFERROR(O717/M717,0)</x:f>
        <x:v>0.483843238385496</x:v>
      </x:c>
      <x:c r="Q717" t="n">
        <x:f>YEAR(B717)</x:f>
        <x:v>2026</x:v>
      </x:c>
      <x:c r="R717" t="str">
        <x:f>TEXT(B717,"yyyy-mm")</x:f>
        <x:v>2026-01</x:v>
      </x:c>
    </x:row>
    <x:row r="718">
      <x:c r="A718" t="n">
        <x:v>10446</x:v>
      </x:c>
      <x:c r="B718" s="10" t="n">
        <x:v>46030</x:v>
      </x:c>
      <x:c r="C718" t="str">
        <x:v>P007</x:v>
      </x:c>
      <x:c r="D718" t="str">
        <x:v>Headset</x:v>
      </x:c>
      <x:c r="E718" t="str">
        <x:v>Accessories</x:v>
      </x:c>
      <x:c r="F718" t="str">
        <x:v>Midlands</x:v>
      </x:c>
      <x:c r="G718" t="str">
        <x:v>Online</x:v>
      </x:c>
      <x:c r="H718" t="str">
        <x:v>Completed</x:v>
      </x:c>
      <x:c r="I718" t="n">
        <x:v>1</x:v>
      </x:c>
      <x:c r="J718" s="12" t="n">
        <x:v>70.93</x:v>
      </x:c>
      <x:c r="K718" s="12" t="n">
        <x:v>35.74</x:v>
      </x:c>
      <x:c r="L718" s="14" t="n">
        <x:v>0.05</x:v>
      </x:c>
      <x:c r="M718" s="12" t="n">
        <x:f>IF(H718="Completed",I718*J718*(1-L718),0)</x:f>
        <x:v>67.3835</x:v>
      </x:c>
      <x:c r="N718" s="12" t="n">
        <x:f>IF(H718="Completed",I718*K718,0)</x:f>
        <x:v>35.74</x:v>
      </x:c>
      <x:c r="O718" s="12" t="n">
        <x:f>M718-N718</x:f>
        <x:v>31.643499999999996</x:v>
      </x:c>
      <x:c r="P718" s="16" t="n">
        <x:f>IFERROR(O718/M718,0)</x:f>
        <x:v>0.4696030927452566</x:v>
      </x:c>
      <x:c r="Q718" t="n">
        <x:f>YEAR(B718)</x:f>
        <x:v>2026</x:v>
      </x:c>
      <x:c r="R718" t="str">
        <x:f>TEXT(B718,"yyyy-mm")</x:f>
        <x:v>2026-01</x:v>
      </x:c>
    </x:row>
    <x:row r="719">
      <x:c r="A719" t="n">
        <x:v>10799</x:v>
      </x:c>
      <x:c r="B719" s="10" t="n">
        <x:v>46031</x:v>
      </x:c>
      <x:c r="C719" t="str">
        <x:v>P008</x:v>
      </x:c>
      <x:c r="D719" t="str">
        <x:v>Webcam</x:v>
      </x:c>
      <x:c r="E719" t="str">
        <x:v>Electronics</x:v>
      </x:c>
      <x:c r="F719" t="str">
        <x:v>North</x:v>
      </x:c>
      <x:c r="G719" t="str">
        <x:v>Partner</x:v>
      </x:c>
      <x:c r="H719" t="str">
        <x:v>Completed</x:v>
      </x:c>
      <x:c r="I719" t="n">
        <x:v>1</x:v>
      </x:c>
      <x:c r="J719" s="12" t="n">
        <x:v>88.19</x:v>
      </x:c>
      <x:c r="K719" s="12" t="n">
        <x:v>41.29</x:v>
      </x:c>
      <x:c r="L719" s="14" t="n">
        <x:v>0.1</x:v>
      </x:c>
      <x:c r="M719" s="12" t="n">
        <x:f>IF(H719="Completed",I719*J719*(1-L719),0)</x:f>
        <x:v>79.371</x:v>
      </x:c>
      <x:c r="N719" s="12" t="n">
        <x:f>IF(H719="Completed",I719*K719,0)</x:f>
        <x:v>41.29</x:v>
      </x:c>
      <x:c r="O719" s="12" t="n">
        <x:f>M719-N719</x:f>
        <x:v>38.080999999999996</x:v>
      </x:c>
      <x:c r="P719" s="16" t="n">
        <x:f>IFERROR(O719/M719,0)</x:f>
        <x:v>0.4797848080533192</x:v>
      </x:c>
      <x:c r="Q719" t="n">
        <x:f>YEAR(B719)</x:f>
        <x:v>2026</x:v>
      </x:c>
      <x:c r="R719" t="str">
        <x:f>TEXT(B719,"yyyy-mm")</x:f>
        <x:v>2026-01</x:v>
      </x:c>
    </x:row>
    <x:row r="720">
      <x:c r="A720" t="n">
        <x:v>10243</x:v>
      </x:c>
      <x:c r="B720" s="10" t="n">
        <x:v>46032</x:v>
      </x:c>
      <x:c r="C720" t="str">
        <x:v>P001</x:v>
      </x:c>
      <x:c r="D720" t="str">
        <x:v>Laptop</x:v>
      </x:c>
      <x:c r="E720" t="str">
        <x:v>Electronics</x:v>
      </x:c>
      <x:c r="F720" t="str">
        <x:v>Midlands</x:v>
      </x:c>
      <x:c r="G720" t="str">
        <x:v>Online</x:v>
      </x:c>
      <x:c r="H720" t="str">
        <x:v>Completed</x:v>
      </x:c>
      <x:c r="I720" t="n">
        <x:v>4</x:v>
      </x:c>
      <x:c r="J720" s="12" t="n">
        <x:v>897.1</x:v>
      </x:c>
      <x:c r="K720" s="12" t="n">
        <x:v>620.73</x:v>
      </x:c>
      <x:c r="L720" s="14" t="n">
        <x:v>0.1</x:v>
      </x:c>
      <x:c r="M720" s="12" t="n">
        <x:f>IF(H720="Completed",I720*J720*(1-L720),0)</x:f>
        <x:v>3229.56</x:v>
      </x:c>
      <x:c r="N720" s="12" t="n">
        <x:f>IF(H720="Completed",I720*K720,0)</x:f>
        <x:v>2482.92</x:v>
      </x:c>
      <x:c r="O720" s="12" t="n">
        <x:f>M720-N720</x:f>
        <x:v>746.6399999999999</x:v>
      </x:c>
      <x:c r="P720" s="16" t="n">
        <x:f>IFERROR(O720/M720,0)</x:f>
        <x:v>0.23118938802809047</x:v>
      </x:c>
      <x:c r="Q720" t="n">
        <x:f>YEAR(B720)</x:f>
        <x:v>2026</x:v>
      </x:c>
      <x:c r="R720" t="str">
        <x:f>TEXT(B720,"yyyy-mm")</x:f>
        <x:v>2026-01</x:v>
      </x:c>
    </x:row>
    <x:row r="721">
      <x:c r="A721" t="n">
        <x:v>10581</x:v>
      </x:c>
      <x:c r="B721" s="10" t="n">
        <x:v>46032</x:v>
      </x:c>
      <x:c r="C721" t="str">
        <x:v>P006</x:v>
      </x:c>
      <x:c r="D721" t="str">
        <x:v>Chair</x:v>
      </x:c>
      <x:c r="E721" t="str">
        <x:v>Furniture</x:v>
      </x:c>
      <x:c r="F721" t="str">
        <x:v>North</x:v>
      </x:c>
      <x:c r="G721" t="str">
        <x:v>Retail</x:v>
      </x:c>
      <x:c r="H721" t="str">
        <x:v>Cancelled</x:v>
      </x:c>
      <x:c r="I721" t="n">
        <x:v>4</x:v>
      </x:c>
      <x:c r="J721" s="12" t="n">
        <x:v>136.57</x:v>
      </x:c>
      <x:c r="K721" s="12" t="n">
        <x:v>67.66</x:v>
      </x:c>
      <x:c r="L721" s="14" t="n">
        <x:v>0</x:v>
      </x:c>
      <x:c r="M721" s="12" t="n">
        <x:f>IF(H721="Completed",I721*J721*(1-L721),0)</x:f>
        <x:v>0</x:v>
      </x:c>
      <x:c r="N721" s="12" t="n">
        <x:f>IF(H721="Completed",I721*K721,0)</x:f>
        <x:v>0</x:v>
      </x:c>
      <x:c r="O721" s="12" t="n">
        <x:f>M721-N721</x:f>
        <x:v>0</x:v>
      </x:c>
      <x:c r="P721" s="16" t="n">
        <x:f>IFERROR(O721/M721,0)</x:f>
        <x:v>0</x:v>
      </x:c>
      <x:c r="Q721" t="n">
        <x:f>YEAR(B721)</x:f>
        <x:v>2026</x:v>
      </x:c>
      <x:c r="R721" t="str">
        <x:f>TEXT(B721,"yyyy-mm")</x:f>
        <x:v>2026-01</x:v>
      </x:c>
    </x:row>
    <x:row r="722">
      <x:c r="A722" t="n">
        <x:v>10632</x:v>
      </x:c>
      <x:c r="B722" s="10" t="n">
        <x:v>46033</x:v>
      </x:c>
      <x:c r="C722" t="str">
        <x:v>P001</x:v>
      </x:c>
      <x:c r="D722" t="str">
        <x:v>Laptop</x:v>
      </x:c>
      <x:c r="E722" t="str">
        <x:v>Electronics</x:v>
      </x:c>
      <x:c r="F722" t="str">
        <x:v>North</x:v>
      </x:c>
      <x:c r="G722" t="str">
        <x:v>Retail</x:v>
      </x:c>
      <x:c r="H722" t="str">
        <x:v>Completed</x:v>
      </x:c>
      <x:c r="I722" t="n">
        <x:v>2</x:v>
      </x:c>
      <x:c r="J722" s="12" t="n">
        <x:v>943.74</x:v>
      </x:c>
      <x:c r="K722" s="12" t="n">
        <x:v>627.62</x:v>
      </x:c>
      <x:c r="L722" s="14" t="n">
        <x:v>0.05</x:v>
      </x:c>
      <x:c r="M722" s="12" t="n">
        <x:f>IF(H722="Completed",I722*J722*(1-L722),0)</x:f>
        <x:v>1793.106</x:v>
      </x:c>
      <x:c r="N722" s="12" t="n">
        <x:f>IF(H722="Completed",I722*K722,0)</x:f>
        <x:v>1255.24</x:v>
      </x:c>
      <x:c r="O722" s="12" t="n">
        <x:f>M722-N722</x:f>
        <x:v>537.866</x:v>
      </x:c>
      <x:c r="P722" s="16" t="n">
        <x:f>IFERROR(O722/M722,0)</x:f>
        <x:v>0.2999633038983752</x:v>
      </x:c>
      <x:c r="Q722" t="n">
        <x:f>YEAR(B722)</x:f>
        <x:v>2026</x:v>
      </x:c>
      <x:c r="R722" t="str">
        <x:f>TEXT(B722,"yyyy-mm")</x:f>
        <x:v>2026-01</x:v>
      </x:c>
    </x:row>
    <x:row r="723">
      <x:c r="A723" t="n">
        <x:v>10102</x:v>
      </x:c>
      <x:c r="B723" s="10" t="n">
        <x:v>46035</x:v>
      </x:c>
      <x:c r="C723" t="str">
        <x:v>P005</x:v>
      </x:c>
      <x:c r="D723" t="str">
        <x:v>Desk</x:v>
      </x:c>
      <x:c r="E723" t="str">
        <x:v>Furniture</x:v>
      </x:c>
      <x:c r="F723" t="str">
        <x:v>Scotland</x:v>
      </x:c>
      <x:c r="G723" t="str">
        <x:v>Online</x:v>
      </x:c>
      <x:c r="H723" t="str">
        <x:v>Completed</x:v>
      </x:c>
      <x:c r="I723" t="n">
        <x:v>4</x:v>
      </x:c>
      <x:c r="J723" s="12" t="n">
        <x:v>273.15</x:v>
      </x:c>
      <x:c r="K723" s="12" t="n">
        <x:v>157.81</x:v>
      </x:c>
      <x:c r="L723" s="14" t="n">
        <x:v>0</x:v>
      </x:c>
      <x:c r="M723" s="12" t="n">
        <x:f>IF(H723="Completed",I723*J723*(1-L723),0)</x:f>
        <x:v>1092.6</x:v>
      </x:c>
      <x:c r="N723" s="12" t="n">
        <x:f>IF(H723="Completed",I723*K723,0)</x:f>
        <x:v>631.24</x:v>
      </x:c>
      <x:c r="O723" s="12" t="n">
        <x:f>M723-N723</x:f>
        <x:v>461.3599999999999</x:v>
      </x:c>
      <x:c r="P723" s="16" t="n">
        <x:f>IFERROR(O723/M723,0)</x:f>
        <x:v>0.42225883214351084</x:v>
      </x:c>
      <x:c r="Q723" t="n">
        <x:f>YEAR(B723)</x:f>
        <x:v>2026</x:v>
      </x:c>
      <x:c r="R723" t="str">
        <x:f>TEXT(B723,"yyyy-mm")</x:f>
        <x:v>2026-01</x:v>
      </x:c>
    </x:row>
    <x:row r="724">
      <x:c r="A724" t="n">
        <x:v>10553</x:v>
      </x:c>
      <x:c r="B724" s="10" t="n">
        <x:v>46036</x:v>
      </x:c>
      <x:c r="C724" t="str">
        <x:v>P001</x:v>
      </x:c>
      <x:c r="D724" t="str">
        <x:v>Laptop</x:v>
      </x:c>
      <x:c r="E724" t="str">
        <x:v>Electronics</x:v>
      </x:c>
      <x:c r="F724" t="str">
        <x:v>North</x:v>
      </x:c>
      <x:c r="G724" t="str">
        <x:v>Online</x:v>
      </x:c>
      <x:c r="H724" t="str">
        <x:v>Completed</x:v>
      </x:c>
      <x:c r="I724" t="n">
        <x:v>2</x:v>
      </x:c>
      <x:c r="J724" s="12" t="n">
        <x:v>919.46</x:v>
      </x:c>
      <x:c r="K724" s="12" t="n">
        <x:v>631.96</x:v>
      </x:c>
      <x:c r="L724" s="14" t="n">
        <x:v>0</x:v>
      </x:c>
      <x:c r="M724" s="12" t="n">
        <x:f>IF(H724="Completed",I724*J724*(1-L724),0)</x:f>
        <x:v>1838.92</x:v>
      </x:c>
      <x:c r="N724" s="12" t="n">
        <x:f>IF(H724="Completed",I724*K724,0)</x:f>
        <x:v>1263.92</x:v>
      </x:c>
      <x:c r="O724" s="12" t="n">
        <x:f>M724-N724</x:f>
        <x:v>575</x:v>
      </x:c>
      <x:c r="P724" s="16" t="n">
        <x:f>IFERROR(O724/M724,0)</x:f>
        <x:v>0.3126835316381354</x:v>
      </x:c>
      <x:c r="Q724" t="n">
        <x:f>YEAR(B724)</x:f>
        <x:v>2026</x:v>
      </x:c>
      <x:c r="R724" t="str">
        <x:f>TEXT(B724,"yyyy-mm")</x:f>
        <x:v>2026-01</x:v>
      </x:c>
    </x:row>
    <x:row r="725">
      <x:c r="A725" t="n">
        <x:v>10604</x:v>
      </x:c>
      <x:c r="B725" s="10" t="n">
        <x:v>46036</x:v>
      </x:c>
      <x:c r="C725" t="str">
        <x:v>P001</x:v>
      </x:c>
      <x:c r="D725" t="str">
        <x:v>Laptop</x:v>
      </x:c>
      <x:c r="E725" t="str">
        <x:v>Electronics</x:v>
      </x:c>
      <x:c r="F725" t="str">
        <x:v>Wales</x:v>
      </x:c>
      <x:c r="G725" t="str">
        <x:v>Online</x:v>
      </x:c>
      <x:c r="H725" t="str">
        <x:v>Completed</x:v>
      </x:c>
      <x:c r="I725" t="n">
        <x:v>3</x:v>
      </x:c>
      <x:c r="J725" s="12" t="n">
        <x:v>920.93</x:v>
      </x:c>
      <x:c r="K725" s="12" t="n">
        <x:v>636.55</x:v>
      </x:c>
      <x:c r="L725" s="14" t="n">
        <x:v>0</x:v>
      </x:c>
      <x:c r="M725" s="12" t="n">
        <x:f>IF(H725="Completed",I725*J725*(1-L725),0)</x:f>
        <x:v>2762.79</x:v>
      </x:c>
      <x:c r="N725" s="12" t="n">
        <x:f>IF(H725="Completed",I725*K725,0)</x:f>
        <x:v>1909.6499999999999</x:v>
      </x:c>
      <x:c r="O725" s="12" t="n">
        <x:f>M725-N725</x:f>
        <x:v>853.1400000000001</x:v>
      </x:c>
      <x:c r="P725" s="16" t="n">
        <x:f>IFERROR(O725/M725,0)</x:f>
        <x:v>0.3087965426253896</x:v>
      </x:c>
      <x:c r="Q725" t="n">
        <x:f>YEAR(B725)</x:f>
        <x:v>2026</x:v>
      </x:c>
      <x:c r="R725" t="str">
        <x:f>TEXT(B725,"yyyy-mm")</x:f>
        <x:v>2026-01</x:v>
      </x:c>
    </x:row>
    <x:row r="726">
      <x:c r="A726" t="n">
        <x:v>10420</x:v>
      </x:c>
      <x:c r="B726" s="10" t="n">
        <x:v>46037</x:v>
      </x:c>
      <x:c r="C726" t="str">
        <x:v>P006</x:v>
      </x:c>
      <x:c r="D726" t="str">
        <x:v>Chair</x:v>
      </x:c>
      <x:c r="E726" t="str">
        <x:v>Furniture</x:v>
      </x:c>
      <x:c r="F726" t="str">
        <x:v>Wales</x:v>
      </x:c>
      <x:c r="G726" t="str">
        <x:v>Partner</x:v>
      </x:c>
      <x:c r="H726" t="str">
        <x:v>Completed</x:v>
      </x:c>
      <x:c r="I726" t="n">
        <x:v>4</x:v>
      </x:c>
      <x:c r="J726" s="12" t="n">
        <x:v>134.34</x:v>
      </x:c>
      <x:c r="K726" s="12" t="n">
        <x:v>67.28</x:v>
      </x:c>
      <x:c r="L726" s="14" t="n">
        <x:v>0.05</x:v>
      </x:c>
      <x:c r="M726" s="12" t="n">
        <x:f>IF(H726="Completed",I726*J726*(1-L726),0)</x:f>
        <x:v>510.49199999999996</x:v>
      </x:c>
      <x:c r="N726" s="12" t="n">
        <x:f>IF(H726="Completed",I726*K726,0)</x:f>
        <x:v>269.12</x:v>
      </x:c>
      <x:c r="O726" s="12" t="n">
        <x:f>M726-N726</x:f>
        <x:v>241.37199999999996</x:v>
      </x:c>
      <x:c r="P726" s="16" t="n">
        <x:f>IFERROR(O726/M726,0)</x:f>
        <x:v>0.47282229692140126</x:v>
      </x:c>
      <x:c r="Q726" t="n">
        <x:f>YEAR(B726)</x:f>
        <x:v>2026</x:v>
      </x:c>
      <x:c r="R726" t="str">
        <x:f>TEXT(B726,"yyyy-mm")</x:f>
        <x:v>2026-01</x:v>
      </x:c>
    </x:row>
    <x:row r="727">
      <x:c r="A727" t="n">
        <x:v>10591</x:v>
      </x:c>
      <x:c r="B727" s="10" t="n">
        <x:v>46037</x:v>
      </x:c>
      <x:c r="C727" t="str">
        <x:v>P002</x:v>
      </x:c>
      <x:c r="D727" t="str">
        <x:v>Monitor</x:v>
      </x:c>
      <x:c r="E727" t="str">
        <x:v>Electronics</x:v>
      </x:c>
      <x:c r="F727" t="str">
        <x:v>South</x:v>
      </x:c>
      <x:c r="G727" t="str">
        <x:v>Online</x:v>
      </x:c>
      <x:c r="H727" t="str">
        <x:v>Cancelled</x:v>
      </x:c>
      <x:c r="I727" t="n">
        <x:v>1</x:v>
      </x:c>
      <x:c r="J727" s="12" t="n">
        <x:v>293.78</x:v>
      </x:c>
      <x:c r="K727" s="12" t="n">
        <x:v>173.57</x:v>
      </x:c>
      <x:c r="L727" s="14" t="n">
        <x:v>0</x:v>
      </x:c>
      <x:c r="M727" s="12" t="n">
        <x:f>IF(H727="Completed",I727*J727*(1-L727),0)</x:f>
        <x:v>0</x:v>
      </x:c>
      <x:c r="N727" s="12" t="n">
        <x:f>IF(H727="Completed",I727*K727,0)</x:f>
        <x:v>0</x:v>
      </x:c>
      <x:c r="O727" s="12" t="n">
        <x:f>M727-N727</x:f>
        <x:v>0</x:v>
      </x:c>
      <x:c r="P727" s="16" t="n">
        <x:f>IFERROR(O727/M727,0)</x:f>
        <x:v>0</x:v>
      </x:c>
      <x:c r="Q727" t="n">
        <x:f>YEAR(B727)</x:f>
        <x:v>2026</x:v>
      </x:c>
      <x:c r="R727" t="str">
        <x:f>TEXT(B727,"yyyy-mm")</x:f>
        <x:v>2026-01</x:v>
      </x:c>
    </x:row>
    <x:row r="728">
      <x:c r="A728" t="n">
        <x:v>10005</x:v>
      </x:c>
      <x:c r="B728" s="10" t="n">
        <x:v>46039</x:v>
      </x:c>
      <x:c r="C728" t="str">
        <x:v>P008</x:v>
      </x:c>
      <x:c r="D728" t="str">
        <x:v>Webcam</x:v>
      </x:c>
      <x:c r="E728" t="str">
        <x:v>Electronics</x:v>
      </x:c>
      <x:c r="F728" t="str">
        <x:v>Wales</x:v>
      </x:c>
      <x:c r="G728" t="str">
        <x:v>Online</x:v>
      </x:c>
      <x:c r="H728" t="str">
        <x:v>Cancelled</x:v>
      </x:c>
      <x:c r="I728" t="n">
        <x:v>1</x:v>
      </x:c>
      <x:c r="J728" s="12" t="n">
        <x:v>91.5</x:v>
      </x:c>
      <x:c r="K728" s="12" t="n">
        <x:v>42.46</x:v>
      </x:c>
      <x:c r="L728" s="14" t="n">
        <x:v>0</x:v>
      </x:c>
      <x:c r="M728" s="12" t="n">
        <x:f>IF(H728="Completed",I728*J728*(1-L728),0)</x:f>
        <x:v>0</x:v>
      </x:c>
      <x:c r="N728" s="12" t="n">
        <x:f>IF(H728="Completed",I728*K728,0)</x:f>
        <x:v>0</x:v>
      </x:c>
      <x:c r="O728" s="12" t="n">
        <x:f>M728-N728</x:f>
        <x:v>0</x:v>
      </x:c>
      <x:c r="P728" s="16" t="n">
        <x:f>IFERROR(O728/M728,0)</x:f>
        <x:v>0</x:v>
      </x:c>
      <x:c r="Q728" t="n">
        <x:f>YEAR(B728)</x:f>
        <x:v>2026</x:v>
      </x:c>
      <x:c r="R728" t="str">
        <x:f>TEXT(B728,"yyyy-mm")</x:f>
        <x:v>2026-01</x:v>
      </x:c>
    </x:row>
    <x:row r="729">
      <x:c r="A729" t="n">
        <x:v>10381</x:v>
      </x:c>
      <x:c r="B729" s="10" t="n">
        <x:v>46039</x:v>
      </x:c>
      <x:c r="C729" t="str">
        <x:v>P005</x:v>
      </x:c>
      <x:c r="D729" t="str">
        <x:v>Desk</x:v>
      </x:c>
      <x:c r="E729" t="str">
        <x:v>Furniture</x:v>
      </x:c>
      <x:c r="F729" t="str">
        <x:v>Midlands</x:v>
      </x:c>
      <x:c r="G729" t="str">
        <x:v>Online</x:v>
      </x:c>
      <x:c r="H729" t="str">
        <x:v>Completed</x:v>
      </x:c>
      <x:c r="I729" t="n">
        <x:v>3</x:v>
      </x:c>
      <x:c r="J729" s="12" t="n">
        <x:v>277.33</x:v>
      </x:c>
      <x:c r="K729" s="12" t="n">
        <x:v>155.7</x:v>
      </x:c>
      <x:c r="L729" s="14" t="n">
        <x:v>0.1</x:v>
      </x:c>
      <x:c r="M729" s="12" t="n">
        <x:f>IF(H729="Completed",I729*J729*(1-L729),0)</x:f>
        <x:v>748.791</x:v>
      </x:c>
      <x:c r="N729" s="12" t="n">
        <x:f>IF(H729="Completed",I729*K729,0)</x:f>
        <x:v>467.09999999999997</x:v>
      </x:c>
      <x:c r="O729" s="12" t="n">
        <x:f>M729-N729</x:f>
        <x:v>281.6910000000001</x:v>
      </x:c>
      <x:c r="P729" s="16" t="n">
        <x:f>IFERROR(O729/M729,0)</x:f>
        <x:v>0.3761944254137671</x:v>
      </x:c>
      <x:c r="Q729" t="n">
        <x:f>YEAR(B729)</x:f>
        <x:v>2026</x:v>
      </x:c>
      <x:c r="R729" t="str">
        <x:f>TEXT(B729,"yyyy-mm")</x:f>
        <x:v>2026-01</x:v>
      </x:c>
    </x:row>
    <x:row r="730">
      <x:c r="A730" t="n">
        <x:v>10582</x:v>
      </x:c>
      <x:c r="B730" s="10" t="n">
        <x:v>46040</x:v>
      </x:c>
      <x:c r="C730" t="str">
        <x:v>P007</x:v>
      </x:c>
      <x:c r="D730" t="str">
        <x:v>Headset</x:v>
      </x:c>
      <x:c r="E730" t="str">
        <x:v>Accessories</x:v>
      </x:c>
      <x:c r="F730" t="str">
        <x:v>Scotland</x:v>
      </x:c>
      <x:c r="G730" t="str">
        <x:v>Partner</x:v>
      </x:c>
      <x:c r="H730" t="str">
        <x:v>Completed</x:v>
      </x:c>
      <x:c r="I730" t="n">
        <x:v>1</x:v>
      </x:c>
      <x:c r="J730" s="12" t="n">
        <x:v>74.27</x:v>
      </x:c>
      <x:c r="K730" s="12" t="n">
        <x:v>35.06</x:v>
      </x:c>
      <x:c r="L730" s="14" t="n">
        <x:v>0</x:v>
      </x:c>
      <x:c r="M730" s="12" t="n">
        <x:f>IF(H730="Completed",I730*J730*(1-L730),0)</x:f>
        <x:v>74.27</x:v>
      </x:c>
      <x:c r="N730" s="12" t="n">
        <x:f>IF(H730="Completed",I730*K730,0)</x:f>
        <x:v>35.06</x:v>
      </x:c>
      <x:c r="O730" s="12" t="n">
        <x:f>M730-N730</x:f>
        <x:v>39.209999999999994</x:v>
      </x:c>
      <x:c r="P730" s="16" t="n">
        <x:f>IFERROR(O730/M730,0)</x:f>
        <x:v>0.5279386023966608</x:v>
      </x:c>
      <x:c r="Q730" t="n">
        <x:f>YEAR(B730)</x:f>
        <x:v>2026</x:v>
      </x:c>
      <x:c r="R730" t="str">
        <x:f>TEXT(B730,"yyyy-mm")</x:f>
        <x:v>2026-01</x:v>
      </x:c>
    </x:row>
    <x:row r="731">
      <x:c r="A731" t="n">
        <x:v>10488</x:v>
      </x:c>
      <x:c r="B731" s="10" t="n">
        <x:v>46041</x:v>
      </x:c>
      <x:c r="C731" t="str">
        <x:v>P008</x:v>
      </x:c>
      <x:c r="D731" t="str">
        <x:v>Webcam</x:v>
      </x:c>
      <x:c r="E731" t="str">
        <x:v>Electronics</x:v>
      </x:c>
      <x:c r="F731" t="str">
        <x:v>North</x:v>
      </x:c>
      <x:c r="G731" t="str">
        <x:v>Retail</x:v>
      </x:c>
      <x:c r="H731" t="str">
        <x:v>Completed</x:v>
      </x:c>
      <x:c r="I731" t="n">
        <x:v>3</x:v>
      </x:c>
      <x:c r="J731" s="12" t="n">
        <x:v>87.98</x:v>
      </x:c>
      <x:c r="K731" s="12" t="n">
        <x:v>41.65</x:v>
      </x:c>
      <x:c r="L731" s="14" t="n">
        <x:v>0</x:v>
      </x:c>
      <x:c r="M731" s="12" t="n">
        <x:f>IF(H731="Completed",I731*J731*(1-L731),0)</x:f>
        <x:v>263.94</x:v>
      </x:c>
      <x:c r="N731" s="12" t="n">
        <x:f>IF(H731="Completed",I731*K731,0)</x:f>
        <x:v>124.94999999999999</x:v>
      </x:c>
      <x:c r="O731" s="12" t="n">
        <x:f>M731-N731</x:f>
        <x:v>138.99</x:v>
      </x:c>
      <x:c r="P731" s="16" t="n">
        <x:f>IFERROR(O731/M731,0)</x:f>
        <x:v>0.5265969538531485</x:v>
      </x:c>
      <x:c r="Q731" t="n">
        <x:f>YEAR(B731)</x:f>
        <x:v>2026</x:v>
      </x:c>
      <x:c r="R731" t="str">
        <x:f>TEXT(B731,"yyyy-mm")</x:f>
        <x:v>2026-01</x:v>
      </x:c>
    </x:row>
    <x:row r="732">
      <x:c r="A732" t="n">
        <x:v>10585</x:v>
      </x:c>
      <x:c r="B732" s="10" t="n">
        <x:v>46041</x:v>
      </x:c>
      <x:c r="C732" t="str">
        <x:v>P007</x:v>
      </x:c>
      <x:c r="D732" t="str">
        <x:v>Headset</x:v>
      </x:c>
      <x:c r="E732" t="str">
        <x:v>Accessories</x:v>
      </x:c>
      <x:c r="F732" t="str">
        <x:v>Scotland</x:v>
      </x:c>
      <x:c r="G732" t="str">
        <x:v>Retail</x:v>
      </x:c>
      <x:c r="H732" t="str">
        <x:v>Completed</x:v>
      </x:c>
      <x:c r="I732" t="n">
        <x:v>4</x:v>
      </x:c>
      <x:c r="J732" s="12" t="n">
        <x:v>72.02</x:v>
      </x:c>
      <x:c r="K732" s="12" t="n">
        <x:v>35.68</x:v>
      </x:c>
      <x:c r="L732" s="14" t="n">
        <x:v>0</x:v>
      </x:c>
      <x:c r="M732" s="12" t="n">
        <x:f>IF(H732="Completed",I732*J732*(1-L732),0)</x:f>
        <x:v>288.08</x:v>
      </x:c>
      <x:c r="N732" s="12" t="n">
        <x:f>IF(H732="Completed",I732*K732,0)</x:f>
        <x:v>142.72</x:v>
      </x:c>
      <x:c r="O732" s="12" t="n">
        <x:f>M732-N732</x:f>
        <x:v>145.35999999999999</x:v>
      </x:c>
      <x:c r="P732" s="16" t="n">
        <x:f>IFERROR(O732/M732,0)</x:f>
        <x:v>0.5045820605387392</x:v>
      </x:c>
      <x:c r="Q732" t="n">
        <x:f>YEAR(B732)</x:f>
        <x:v>2026</x:v>
      </x:c>
      <x:c r="R732" t="str">
        <x:f>TEXT(B732,"yyyy-mm")</x:f>
        <x:v>2026-01</x:v>
      </x:c>
    </x:row>
    <x:row r="733">
      <x:c r="A733" t="n">
        <x:v>10882</x:v>
      </x:c>
      <x:c r="B733" s="10" t="n">
        <x:v>46041</x:v>
      </x:c>
      <x:c r="C733" t="str">
        <x:v>P007</x:v>
      </x:c>
      <x:c r="D733" t="str">
        <x:v>Headset</x:v>
      </x:c>
      <x:c r="E733" t="str">
        <x:v>Accessories</x:v>
      </x:c>
      <x:c r="F733" t="str">
        <x:v>North</x:v>
      </x:c>
      <x:c r="G733" t="str">
        <x:v>Online</x:v>
      </x:c>
      <x:c r="H733" t="str">
        <x:v>Completed</x:v>
      </x:c>
      <x:c r="I733" t="n">
        <x:v>2</x:v>
      </x:c>
      <x:c r="J733" s="12" t="n">
        <x:v>74.72</x:v>
      </x:c>
      <x:c r="K733" s="12" t="n">
        <x:v>35.2</x:v>
      </x:c>
      <x:c r="L733" s="14" t="n">
        <x:v>0</x:v>
      </x:c>
      <x:c r="M733" s="12" t="n">
        <x:f>IF(H733="Completed",I733*J733*(1-L733),0)</x:f>
        <x:v>149.44</x:v>
      </x:c>
      <x:c r="N733" s="12" t="n">
        <x:f>IF(H733="Completed",I733*K733,0)</x:f>
        <x:v>70.4</x:v>
      </x:c>
      <x:c r="O733" s="12" t="n">
        <x:f>M733-N733</x:f>
        <x:v>79.03999999999999</x:v>
      </x:c>
      <x:c r="P733" s="16" t="n">
        <x:f>IFERROR(O733/M733,0)</x:f>
        <x:v>0.5289079229122056</x:v>
      </x:c>
      <x:c r="Q733" t="n">
        <x:f>YEAR(B733)</x:f>
        <x:v>2026</x:v>
      </x:c>
      <x:c r="R733" t="str">
        <x:f>TEXT(B733,"yyyy-mm")</x:f>
        <x:v>2026-01</x:v>
      </x:c>
    </x:row>
    <x:row r="734">
      <x:c r="A734" t="n">
        <x:v>10753</x:v>
      </x:c>
      <x:c r="B734" s="10" t="n">
        <x:v>46042</x:v>
      </x:c>
      <x:c r="C734" t="str">
        <x:v>P001</x:v>
      </x:c>
      <x:c r="D734" t="str">
        <x:v>Laptop</x:v>
      </x:c>
      <x:c r="E734" t="str">
        <x:v>Electronics</x:v>
      </x:c>
      <x:c r="F734" t="str">
        <x:v>North</x:v>
      </x:c>
      <x:c r="G734" t="str">
        <x:v>Online</x:v>
      </x:c>
      <x:c r="H734" t="str">
        <x:v>Completed</x:v>
      </x:c>
      <x:c r="I734" t="n">
        <x:v>3</x:v>
      </x:c>
      <x:c r="J734" s="12" t="n">
        <x:v>948.96</x:v>
      </x:c>
      <x:c r="K734" s="12" t="n">
        <x:v>611.8</x:v>
      </x:c>
      <x:c r="L734" s="14" t="n">
        <x:v>0.05</x:v>
      </x:c>
      <x:c r="M734" s="12" t="n">
        <x:f>IF(H734="Completed",I734*J734*(1-L734),0)</x:f>
        <x:v>2704.536</x:v>
      </x:c>
      <x:c r="N734" s="12" t="n">
        <x:f>IF(H734="Completed",I734*K734,0)</x:f>
        <x:v>1835.3999999999999</x:v>
      </x:c>
      <x:c r="O734" s="12" t="n">
        <x:f>M734-N734</x:f>
        <x:v>869.1360000000002</x:v>
      </x:c>
      <x:c r="P734" s="16" t="n">
        <x:f>IFERROR(O734/M734,0)</x:f>
        <x:v>0.32136233350193905</x:v>
      </x:c>
      <x:c r="Q734" t="n">
        <x:f>YEAR(B734)</x:f>
        <x:v>2026</x:v>
      </x:c>
      <x:c r="R734" t="str">
        <x:f>TEXT(B734,"yyyy-mm")</x:f>
        <x:v>2026-01</x:v>
      </x:c>
    </x:row>
    <x:row r="735">
      <x:c r="A735" t="n">
        <x:v>10484</x:v>
      </x:c>
      <x:c r="B735" s="10" t="n">
        <x:v>46043</x:v>
      </x:c>
      <x:c r="C735" t="str">
        <x:v>P002</x:v>
      </x:c>
      <x:c r="D735" t="str">
        <x:v>Monitor</x:v>
      </x:c>
      <x:c r="E735" t="str">
        <x:v>Electronics</x:v>
      </x:c>
      <x:c r="F735" t="str">
        <x:v>Wales</x:v>
      </x:c>
      <x:c r="G735" t="str">
        <x:v>Retail</x:v>
      </x:c>
      <x:c r="H735" t="str">
        <x:v>Completed</x:v>
      </x:c>
      <x:c r="I735" t="n">
        <x:v>1</x:v>
      </x:c>
      <x:c r="J735" s="12" t="n">
        <x:v>288</x:v>
      </x:c>
      <x:c r="K735" s="12" t="n">
        <x:v>173.14</x:v>
      </x:c>
      <x:c r="L735" s="14" t="n">
        <x:v>0.1</x:v>
      </x:c>
      <x:c r="M735" s="12" t="n">
        <x:f>IF(H735="Completed",I735*J735*(1-L735),0)</x:f>
        <x:v>259.2</x:v>
      </x:c>
      <x:c r="N735" s="12" t="n">
        <x:f>IF(H735="Completed",I735*K735,0)</x:f>
        <x:v>173.14</x:v>
      </x:c>
      <x:c r="O735" s="12" t="n">
        <x:f>M735-N735</x:f>
        <x:v>86.06</x:v>
      </x:c>
      <x:c r="P735" s="16" t="n">
        <x:f>IFERROR(O735/M735,0)</x:f>
        <x:v>0.33202160493827165</x:v>
      </x:c>
      <x:c r="Q735" t="n">
        <x:f>YEAR(B735)</x:f>
        <x:v>2026</x:v>
      </x:c>
      <x:c r="R735" t="str">
        <x:f>TEXT(B735,"yyyy-mm")</x:f>
        <x:v>2026-01</x:v>
      </x:c>
    </x:row>
    <x:row r="736">
      <x:c r="A736" t="n">
        <x:v>10612</x:v>
      </x:c>
      <x:c r="B736" s="10" t="n">
        <x:v>46044</x:v>
      </x:c>
      <x:c r="C736" t="str">
        <x:v>P001</x:v>
      </x:c>
      <x:c r="D736" t="str">
        <x:v>Laptop</x:v>
      </x:c>
      <x:c r="E736" t="str">
        <x:v>Electronics</x:v>
      </x:c>
      <x:c r="F736" t="str">
        <x:v>South</x:v>
      </x:c>
      <x:c r="G736" t="str">
        <x:v>Retail</x:v>
      </x:c>
      <x:c r="H736" t="str">
        <x:v>Completed</x:v>
      </x:c>
      <x:c r="I736" t="n">
        <x:v>4</x:v>
      </x:c>
      <x:c r="J736" s="12" t="n">
        <x:v>911.15</x:v>
      </x:c>
      <x:c r="K736" s="12" t="n">
        <x:v>619.94</x:v>
      </x:c>
      <x:c r="L736" s="14" t="n">
        <x:v>0</x:v>
      </x:c>
      <x:c r="M736" s="12" t="n">
        <x:f>IF(H736="Completed",I736*J736*(1-L736),0)</x:f>
        <x:v>3644.6</x:v>
      </x:c>
      <x:c r="N736" s="12" t="n">
        <x:f>IF(H736="Completed",I736*K736,0)</x:f>
        <x:v>2479.76</x:v>
      </x:c>
      <x:c r="O736" s="12" t="n">
        <x:f>M736-N736</x:f>
        <x:v>1164.8399999999997</x:v>
      </x:c>
      <x:c r="P736" s="16" t="n">
        <x:f>IFERROR(O736/M736,0)</x:f>
        <x:v>0.3196070899412829</x:v>
      </x:c>
      <x:c r="Q736" t="n">
        <x:f>YEAR(B736)</x:f>
        <x:v>2026</x:v>
      </x:c>
      <x:c r="R736" t="str">
        <x:f>TEXT(B736,"yyyy-mm")</x:f>
        <x:v>2026-01</x:v>
      </x:c>
    </x:row>
    <x:row r="737">
      <x:c r="A737" t="n">
        <x:v>10858</x:v>
      </x:c>
      <x:c r="B737" s="10" t="n">
        <x:v>46044</x:v>
      </x:c>
      <x:c r="C737" t="str">
        <x:v>P006</x:v>
      </x:c>
      <x:c r="D737" t="str">
        <x:v>Chair</x:v>
      </x:c>
      <x:c r="E737" t="str">
        <x:v>Furniture</x:v>
      </x:c>
      <x:c r="F737" t="str">
        <x:v>Scotland</x:v>
      </x:c>
      <x:c r="G737" t="str">
        <x:v>Retail</x:v>
      </x:c>
      <x:c r="H737" t="str">
        <x:v>Cancelled</x:v>
      </x:c>
      <x:c r="I737" t="n">
        <x:v>4</x:v>
      </x:c>
      <x:c r="J737" s="12" t="n">
        <x:v>133.62</x:v>
      </x:c>
      <x:c r="K737" s="12" t="n">
        <x:v>69.19</x:v>
      </x:c>
      <x:c r="L737" s="14" t="n">
        <x:v>0</x:v>
      </x:c>
      <x:c r="M737" s="12" t="n">
        <x:f>IF(H737="Completed",I737*J737*(1-L737),0)</x:f>
        <x:v>0</x:v>
      </x:c>
      <x:c r="N737" s="12" t="n">
        <x:f>IF(H737="Completed",I737*K737,0)</x:f>
        <x:v>0</x:v>
      </x:c>
      <x:c r="O737" s="12" t="n">
        <x:f>M737-N737</x:f>
        <x:v>0</x:v>
      </x:c>
      <x:c r="P737" s="16" t="n">
        <x:f>IFERROR(O737/M737,0)</x:f>
        <x:v>0</x:v>
      </x:c>
      <x:c r="Q737" t="n">
        <x:f>YEAR(B737)</x:f>
        <x:v>2026</x:v>
      </x:c>
      <x:c r="R737" t="str">
        <x:f>TEXT(B737,"yyyy-mm")</x:f>
        <x:v>2026-01</x:v>
      </x:c>
    </x:row>
    <x:row r="738">
      <x:c r="A738" t="n">
        <x:v>10052</x:v>
      </x:c>
      <x:c r="B738" s="10" t="n">
        <x:v>46045</x:v>
      </x:c>
      <x:c r="C738" t="str">
        <x:v>P003</x:v>
      </x:c>
      <x:c r="D738" t="str">
        <x:v>Keyboard</x:v>
      </x:c>
      <x:c r="E738" t="str">
        <x:v>Accessories</x:v>
      </x:c>
      <x:c r="F738" t="str">
        <x:v>Midlands</x:v>
      </x:c>
      <x:c r="G738" t="str">
        <x:v>Retail</x:v>
      </x:c>
      <x:c r="H738" t="str">
        <x:v>Cancelled</x:v>
      </x:c>
      <x:c r="I738" t="n">
        <x:v>1</x:v>
      </x:c>
      <x:c r="J738" s="12" t="n">
        <x:v>47.85</x:v>
      </x:c>
      <x:c r="K738" s="12" t="n">
        <x:v>26.72</x:v>
      </x:c>
      <x:c r="L738" s="14" t="n">
        <x:v>0</x:v>
      </x:c>
      <x:c r="M738" s="12" t="n">
        <x:f>IF(H738="Completed",I738*J738*(1-L738),0)</x:f>
        <x:v>0</x:v>
      </x:c>
      <x:c r="N738" s="12" t="n">
        <x:f>IF(H738="Completed",I738*K738,0)</x:f>
        <x:v>0</x:v>
      </x:c>
      <x:c r="O738" s="12" t="n">
        <x:f>M738-N738</x:f>
        <x:v>0</x:v>
      </x:c>
      <x:c r="P738" s="16" t="n">
        <x:f>IFERROR(O738/M738,0)</x:f>
        <x:v>0</x:v>
      </x:c>
      <x:c r="Q738" t="n">
        <x:f>YEAR(B738)</x:f>
        <x:v>2026</x:v>
      </x:c>
      <x:c r="R738" t="str">
        <x:f>TEXT(B738,"yyyy-mm")</x:f>
        <x:v>2026-01</x:v>
      </x:c>
    </x:row>
    <x:row r="739">
      <x:c r="A739" t="n">
        <x:v>10837</x:v>
      </x:c>
      <x:c r="B739" s="10" t="n">
        <x:v>46045</x:v>
      </x:c>
      <x:c r="C739" t="str">
        <x:v>P005</x:v>
      </x:c>
      <x:c r="D739" t="str">
        <x:v>Desk</x:v>
      </x:c>
      <x:c r="E739" t="str">
        <x:v>Furniture</x:v>
      </x:c>
      <x:c r="F739" t="str">
        <x:v>Midlands</x:v>
      </x:c>
      <x:c r="G739" t="str">
        <x:v>Online</x:v>
      </x:c>
      <x:c r="H739" t="str">
        <x:v>Completed</x:v>
      </x:c>
      <x:c r="I739" t="n">
        <x:v>2</x:v>
      </x:c>
      <x:c r="J739" s="12" t="n">
        <x:v>270.6</x:v>
      </x:c>
      <x:c r="K739" s="12" t="n">
        <x:v>155.35</x:v>
      </x:c>
      <x:c r="L739" s="14" t="n">
        <x:v>0.1</x:v>
      </x:c>
      <x:c r="M739" s="12" t="n">
        <x:f>IF(H739="Completed",I739*J739*(1-L739),0)</x:f>
        <x:v>487.08000000000004</x:v>
      </x:c>
      <x:c r="N739" s="12" t="n">
        <x:f>IF(H739="Completed",I739*K739,0)</x:f>
        <x:v>310.7</x:v>
      </x:c>
      <x:c r="O739" s="12" t="n">
        <x:f>M739-N739</x:f>
        <x:v>176.38000000000005</x:v>
      </x:c>
      <x:c r="P739" s="16" t="n">
        <x:f>IFERROR(O739/M739,0)</x:f>
        <x:v>0.3621171060195451</x:v>
      </x:c>
      <x:c r="Q739" t="n">
        <x:f>YEAR(B739)</x:f>
        <x:v>2026</x:v>
      </x:c>
      <x:c r="R739" t="str">
        <x:f>TEXT(B739,"yyyy-mm")</x:f>
        <x:v>2026-01</x:v>
      </x:c>
    </x:row>
    <x:row r="740">
      <x:c r="A740" t="n">
        <x:v>10042</x:v>
      </x:c>
      <x:c r="B740" s="10" t="n">
        <x:v>46046</x:v>
      </x:c>
      <x:c r="C740" t="str">
        <x:v>P006</x:v>
      </x:c>
      <x:c r="D740" t="str">
        <x:v>Chair</x:v>
      </x:c>
      <x:c r="E740" t="str">
        <x:v>Furniture</x:v>
      </x:c>
      <x:c r="F740" t="str">
        <x:v>Scotland</x:v>
      </x:c>
      <x:c r="G740" t="str">
        <x:v>Partner</x:v>
      </x:c>
      <x:c r="H740" t="str">
        <x:v>Completed</x:v>
      </x:c>
      <x:c r="I740" t="n">
        <x:v>4</x:v>
      </x:c>
      <x:c r="J740" s="12" t="n">
        <x:v>132.45</x:v>
      </x:c>
      <x:c r="K740" s="12" t="n">
        <x:v>69.02</x:v>
      </x:c>
      <x:c r="L740" s="14" t="n">
        <x:v>0</x:v>
      </x:c>
      <x:c r="M740" s="12" t="n">
        <x:f>IF(H740="Completed",I740*J740*(1-L740),0)</x:f>
        <x:v>529.8</x:v>
      </x:c>
      <x:c r="N740" s="12" t="n">
        <x:f>IF(H740="Completed",I740*K740,0)</x:f>
        <x:v>276.08</x:v>
      </x:c>
      <x:c r="O740" s="12" t="n">
        <x:f>M740-N740</x:f>
        <x:v>253.71999999999997</x:v>
      </x:c>
      <x:c r="P740" s="16" t="n">
        <x:f>IFERROR(O740/M740,0)</x:f>
        <x:v>0.4788976972442431</x:v>
      </x:c>
      <x:c r="Q740" t="n">
        <x:f>YEAR(B740)</x:f>
        <x:v>2026</x:v>
      </x:c>
      <x:c r="R740" t="str">
        <x:f>TEXT(B740,"yyyy-mm")</x:f>
        <x:v>2026-01</x:v>
      </x:c>
    </x:row>
    <x:row r="741">
      <x:c r="A741" t="n">
        <x:v>10048</x:v>
      </x:c>
      <x:c r="B741" s="10" t="n">
        <x:v>46046</x:v>
      </x:c>
      <x:c r="C741" t="str">
        <x:v>P004</x:v>
      </x:c>
      <x:c r="D741" t="str">
        <x:v>Mouse</x:v>
      </x:c>
      <x:c r="E741" t="str">
        <x:v>Accessories</x:v>
      </x:c>
      <x:c r="F741" t="str">
        <x:v>Midlands</x:v>
      </x:c>
      <x:c r="G741" t="str">
        <x:v>Partner</x:v>
      </x:c>
      <x:c r="H741" t="str">
        <x:v>Completed</x:v>
      </x:c>
      <x:c r="I741" t="n">
        <x:v>3</x:v>
      </x:c>
      <x:c r="J741" s="12" t="n">
        <x:v>26.78</x:v>
      </x:c>
      <x:c r="K741" s="12" t="n">
        <x:v>13.29</x:v>
      </x:c>
      <x:c r="L741" s="14" t="n">
        <x:v>0.1</x:v>
      </x:c>
      <x:c r="M741" s="12" t="n">
        <x:f>IF(H741="Completed",I741*J741*(1-L741),0)</x:f>
        <x:v>72.30600000000001</x:v>
      </x:c>
      <x:c r="N741" s="12" t="n">
        <x:f>IF(H741="Completed",I741*K741,0)</x:f>
        <x:v>39.87</x:v>
      </x:c>
      <x:c r="O741" s="12" t="n">
        <x:f>M741-N741</x:f>
        <x:v>32.436000000000014</x:v>
      </x:c>
      <x:c r="P741" s="16" t="n">
        <x:f>IFERROR(O741/M741,0)</x:f>
        <x:v>0.44859347771969144</x:v>
      </x:c>
      <x:c r="Q741" t="n">
        <x:f>YEAR(B741)</x:f>
        <x:v>2026</x:v>
      </x:c>
      <x:c r="R741" t="str">
        <x:f>TEXT(B741,"yyyy-mm")</x:f>
        <x:v>2026-01</x:v>
      </x:c>
    </x:row>
    <x:row r="742">
      <x:c r="A742" t="n">
        <x:v>10879</x:v>
      </x:c>
      <x:c r="B742" s="10" t="n">
        <x:v>46047</x:v>
      </x:c>
      <x:c r="C742" t="str">
        <x:v>P004</x:v>
      </x:c>
      <x:c r="D742" t="str">
        <x:v>Mouse</x:v>
      </x:c>
      <x:c r="E742" t="str">
        <x:v>Accessories</x:v>
      </x:c>
      <x:c r="F742" t="str">
        <x:v>Midlands</x:v>
      </x:c>
      <x:c r="G742" t="str">
        <x:v>Retail</x:v>
      </x:c>
      <x:c r="H742" t="str">
        <x:v>Completed</x:v>
      </x:c>
      <x:c r="I742" t="n">
        <x:v>1</x:v>
      </x:c>
      <x:c r="J742" s="12" t="n">
        <x:v>26.38</x:v>
      </x:c>
      <x:c r="K742" s="12" t="n">
        <x:v>13.2</x:v>
      </x:c>
      <x:c r="L742" s="14" t="n">
        <x:v>0.05</x:v>
      </x:c>
      <x:c r="M742" s="12" t="n">
        <x:f>IF(H742="Completed",I742*J742*(1-L742),0)</x:f>
        <x:v>25.060999999999996</x:v>
      </x:c>
      <x:c r="N742" s="12" t="n">
        <x:f>IF(H742="Completed",I742*K742,0)</x:f>
        <x:v>13.2</x:v>
      </x:c>
      <x:c r="O742" s="12" t="n">
        <x:f>M742-N742</x:f>
        <x:v>11.860999999999997</x:v>
      </x:c>
      <x:c r="P742" s="16" t="n">
        <x:f>IFERROR(O742/M742,0)</x:f>
        <x:v>0.47328518415067233</x:v>
      </x:c>
      <x:c r="Q742" t="n">
        <x:f>YEAR(B742)</x:f>
        <x:v>2026</x:v>
      </x:c>
      <x:c r="R742" t="str">
        <x:f>TEXT(B742,"yyyy-mm")</x:f>
        <x:v>2026-01</x:v>
      </x:c>
    </x:row>
    <x:row r="743">
      <x:c r="A743" t="n">
        <x:v>10164</x:v>
      </x:c>
      <x:c r="B743" s="10" t="n">
        <x:v>46048</x:v>
      </x:c>
      <x:c r="C743" t="str">
        <x:v>P002</x:v>
      </x:c>
      <x:c r="D743" t="str">
        <x:v>Monitor</x:v>
      </x:c>
      <x:c r="E743" t="str">
        <x:v>Electronics</x:v>
      </x:c>
      <x:c r="F743" t="str">
        <x:v>South</x:v>
      </x:c>
      <x:c r="G743" t="str">
        <x:v>Online</x:v>
      </x:c>
      <x:c r="H743" t="str">
        <x:v>Completed</x:v>
      </x:c>
      <x:c r="I743" t="n">
        <x:v>4</x:v>
      </x:c>
      <x:c r="J743" s="12" t="n">
        <x:v>295.43</x:v>
      </x:c>
      <x:c r="K743" s="12" t="n">
        <x:v>169.5</x:v>
      </x:c>
      <x:c r="L743" s="14" t="n">
        <x:v>0</x:v>
      </x:c>
      <x:c r="M743" s="12" t="n">
        <x:f>IF(H743="Completed",I743*J743*(1-L743),0)</x:f>
        <x:v>1181.72</x:v>
      </x:c>
      <x:c r="N743" s="12" t="n">
        <x:f>IF(H743="Completed",I743*K743,0)</x:f>
        <x:v>678</x:v>
      </x:c>
      <x:c r="O743" s="12" t="n">
        <x:f>M743-N743</x:f>
        <x:v>503.72</x:v>
      </x:c>
      <x:c r="P743" s="16" t="n">
        <x:f>IFERROR(O743/M743,0)</x:f>
        <x:v>0.42626002775615207</x:v>
      </x:c>
      <x:c r="Q743" t="n">
        <x:f>YEAR(B743)</x:f>
        <x:v>2026</x:v>
      </x:c>
      <x:c r="R743" t="str">
        <x:f>TEXT(B743,"yyyy-mm")</x:f>
        <x:v>2026-01</x:v>
      </x:c>
    </x:row>
    <x:row r="744">
      <x:c r="A744" t="n">
        <x:v>10344</x:v>
      </x:c>
      <x:c r="B744" s="10" t="n">
        <x:v>46049</x:v>
      </x:c>
      <x:c r="C744" t="str">
        <x:v>P004</x:v>
      </x:c>
      <x:c r="D744" t="str">
        <x:v>Mouse</x:v>
      </x:c>
      <x:c r="E744" t="str">
        <x:v>Accessories</x:v>
      </x:c>
      <x:c r="F744" t="str">
        <x:v>Midlands</x:v>
      </x:c>
      <x:c r="G744" t="str">
        <x:v>Partner</x:v>
      </x:c>
      <x:c r="H744" t="str">
        <x:v>Completed</x:v>
      </x:c>
      <x:c r="I744" t="n">
        <x:v>4</x:v>
      </x:c>
      <x:c r="J744" s="12" t="n">
        <x:v>27.89</x:v>
      </x:c>
      <x:c r="K744" s="12" t="n">
        <x:v>13.23</x:v>
      </x:c>
      <x:c r="L744" s="14" t="n">
        <x:v>0.15</x:v>
      </x:c>
      <x:c r="M744" s="12" t="n">
        <x:f>IF(H744="Completed",I744*J744*(1-L744),0)</x:f>
        <x:v>94.826</x:v>
      </x:c>
      <x:c r="N744" s="12" t="n">
        <x:f>IF(H744="Completed",I744*K744,0)</x:f>
        <x:v>52.92</x:v>
      </x:c>
      <x:c r="O744" s="12" t="n">
        <x:f>M744-N744</x:f>
        <x:v>41.90599999999999</x:v>
      </x:c>
      <x:c r="P744" s="16" t="n">
        <x:f>IFERROR(O744/M744,0)</x:f>
        <x:v>0.4419252103853373</x:v>
      </x:c>
      <x:c r="Q744" t="n">
        <x:f>YEAR(B744)</x:f>
        <x:v>2026</x:v>
      </x:c>
      <x:c r="R744" t="str">
        <x:f>TEXT(B744,"yyyy-mm")</x:f>
        <x:v>2026-01</x:v>
      </x:c>
    </x:row>
    <x:row r="745">
      <x:c r="A745" t="n">
        <x:v>10411</x:v>
      </x:c>
      <x:c r="B745" s="10" t="n">
        <x:v>46050</x:v>
      </x:c>
      <x:c r="C745" t="str">
        <x:v>P005</x:v>
      </x:c>
      <x:c r="D745" t="str">
        <x:v>Desk</x:v>
      </x:c>
      <x:c r="E745" t="str">
        <x:v>Furniture</x:v>
      </x:c>
      <x:c r="F745" t="str">
        <x:v>Wales</x:v>
      </x:c>
      <x:c r="G745" t="str">
        <x:v>Partner</x:v>
      </x:c>
      <x:c r="H745" t="str">
        <x:v>Completed</x:v>
      </x:c>
      <x:c r="I745" t="n">
        <x:v>2</x:v>
      </x:c>
      <x:c r="J745" s="12" t="n">
        <x:v>273.59</x:v>
      </x:c>
      <x:c r="K745" s="12" t="n">
        <x:v>157.67</x:v>
      </x:c>
      <x:c r="L745" s="14" t="n">
        <x:v>0</x:v>
      </x:c>
      <x:c r="M745" s="12" t="n">
        <x:f>IF(H745="Completed",I745*J745*(1-L745),0)</x:f>
        <x:v>547.18</x:v>
      </x:c>
      <x:c r="N745" s="12" t="n">
        <x:f>IF(H745="Completed",I745*K745,0)</x:f>
        <x:v>315.34</x:v>
      </x:c>
      <x:c r="O745" s="12" t="n">
        <x:f>M745-N745</x:f>
        <x:v>231.83999999999997</x:v>
      </x:c>
      <x:c r="P745" s="16" t="n">
        <x:f>IFERROR(O745/M745,0)</x:f>
        <x:v>0.42369969662633866</x:v>
      </x:c>
      <x:c r="Q745" t="n">
        <x:f>YEAR(B745)</x:f>
        <x:v>2026</x:v>
      </x:c>
      <x:c r="R745" t="str">
        <x:f>TEXT(B745,"yyyy-mm")</x:f>
        <x:v>2026-01</x:v>
      </x:c>
    </x:row>
    <x:row r="746">
      <x:c r="A746" t="n">
        <x:v>10258</x:v>
      </x:c>
      <x:c r="B746" s="10" t="n">
        <x:v>46051</x:v>
      </x:c>
      <x:c r="C746" t="str">
        <x:v>P002</x:v>
      </x:c>
      <x:c r="D746" t="str">
        <x:v>Monitor</x:v>
      </x:c>
      <x:c r="E746" t="str">
        <x:v>Electronics</x:v>
      </x:c>
      <x:c r="F746" t="str">
        <x:v>Wales</x:v>
      </x:c>
      <x:c r="G746" t="str">
        <x:v>Retail</x:v>
      </x:c>
      <x:c r="H746" t="str">
        <x:v>Completed</x:v>
      </x:c>
      <x:c r="I746" t="n">
        <x:v>4</x:v>
      </x:c>
      <x:c r="J746" s="12" t="n">
        <x:v>294.71</x:v>
      </x:c>
      <x:c r="K746" s="12" t="n">
        <x:v>171.29</x:v>
      </x:c>
      <x:c r="L746" s="14" t="n">
        <x:v>0.05</x:v>
      </x:c>
      <x:c r="M746" s="12" t="n">
        <x:f>IF(H746="Completed",I746*J746*(1-L746),0)</x:f>
        <x:v>1119.898</x:v>
      </x:c>
      <x:c r="N746" s="12" t="n">
        <x:f>IF(H746="Completed",I746*K746,0)</x:f>
        <x:v>685.16</x:v>
      </x:c>
      <x:c r="O746" s="12" t="n">
        <x:f>M746-N746</x:f>
        <x:v>434.73799999999994</x:v>
      </x:c>
      <x:c r="P746" s="16" t="n">
        <x:f>IFERROR(O746/M746,0)</x:f>
        <x:v>0.38819428197925165</x:v>
      </x:c>
      <x:c r="Q746" t="n">
        <x:f>YEAR(B746)</x:f>
        <x:v>2026</x:v>
      </x:c>
      <x:c r="R746" t="str">
        <x:f>TEXT(B746,"yyyy-mm")</x:f>
        <x:v>2026-01</x:v>
      </x:c>
    </x:row>
    <x:row r="747">
      <x:c r="A747" t="n">
        <x:v>10634</x:v>
      </x:c>
      <x:c r="B747" s="10" t="n">
        <x:v>46052</x:v>
      </x:c>
      <x:c r="C747" t="str">
        <x:v>P001</x:v>
      </x:c>
      <x:c r="D747" t="str">
        <x:v>Laptop</x:v>
      </x:c>
      <x:c r="E747" t="str">
        <x:v>Electronics</x:v>
      </x:c>
      <x:c r="F747" t="str">
        <x:v>South</x:v>
      </x:c>
      <x:c r="G747" t="str">
        <x:v>Retail</x:v>
      </x:c>
      <x:c r="H747" t="str">
        <x:v>Cancelled</x:v>
      </x:c>
      <x:c r="I747" t="n">
        <x:v>3</x:v>
      </x:c>
      <x:c r="J747" s="12" t="n">
        <x:v>893.61</x:v>
      </x:c>
      <x:c r="K747" s="12" t="n">
        <x:v>625.5</x:v>
      </x:c>
      <x:c r="L747" s="14" t="n">
        <x:v>0.1</x:v>
      </x:c>
      <x:c r="M747" s="12" t="n">
        <x:f>IF(H747="Completed",I747*J747*(1-L747),0)</x:f>
        <x:v>0</x:v>
      </x:c>
      <x:c r="N747" s="12" t="n">
        <x:f>IF(H747="Completed",I747*K747,0)</x:f>
        <x:v>0</x:v>
      </x:c>
      <x:c r="O747" s="12" t="n">
        <x:f>M747-N747</x:f>
        <x:v>0</x:v>
      </x:c>
      <x:c r="P747" s="16" t="n">
        <x:f>IFERROR(O747/M747,0)</x:f>
        <x:v>0</x:v>
      </x:c>
      <x:c r="Q747" t="n">
        <x:f>YEAR(B747)</x:f>
        <x:v>2026</x:v>
      </x:c>
      <x:c r="R747" t="str">
        <x:f>TEXT(B747,"yyyy-mm")</x:f>
        <x:v>2026-01</x:v>
      </x:c>
    </x:row>
    <x:row r="748">
      <x:c r="A748" t="n">
        <x:v>10437</x:v>
      </x:c>
      <x:c r="B748" s="10" t="n">
        <x:v>46053</x:v>
      </x:c>
      <x:c r="C748" t="str">
        <x:v>P004</x:v>
      </x:c>
      <x:c r="D748" t="str">
        <x:v>Mouse</x:v>
      </x:c>
      <x:c r="E748" t="str">
        <x:v>Accessories</x:v>
      </x:c>
      <x:c r="F748" t="str">
        <x:v>South</x:v>
      </x:c>
      <x:c r="G748" t="str">
        <x:v>Retail</x:v>
      </x:c>
      <x:c r="H748" t="str">
        <x:v>Cancelled</x:v>
      </x:c>
      <x:c r="I748" t="n">
        <x:v>3</x:v>
      </x:c>
      <x:c r="J748" s="12" t="n">
        <x:v>27.01</x:v>
      </x:c>
      <x:c r="K748" s="12" t="n">
        <x:v>13.21</x:v>
      </x:c>
      <x:c r="L748" s="14" t="n">
        <x:v>0</x:v>
      </x:c>
      <x:c r="M748" s="12" t="n">
        <x:f>IF(H748="Completed",I748*J748*(1-L748),0)</x:f>
        <x:v>0</x:v>
      </x:c>
      <x:c r="N748" s="12" t="n">
        <x:f>IF(H748="Completed",I748*K748,0)</x:f>
        <x:v>0</x:v>
      </x:c>
      <x:c r="O748" s="12" t="n">
        <x:f>M748-N748</x:f>
        <x:v>0</x:v>
      </x:c>
      <x:c r="P748" s="16" t="n">
        <x:f>IFERROR(O748/M748,0)</x:f>
        <x:v>0</x:v>
      </x:c>
      <x:c r="Q748" t="n">
        <x:f>YEAR(B748)</x:f>
        <x:v>2026</x:v>
      </x:c>
      <x:c r="R748" t="str">
        <x:f>TEXT(B748,"yyyy-mm")</x:f>
        <x:v>2026-01</x:v>
      </x:c>
    </x:row>
    <x:row r="749">
      <x:c r="A749" t="n">
        <x:v>10847</x:v>
      </x:c>
      <x:c r="B749" s="10" t="n">
        <x:v>46054</x:v>
      </x:c>
      <x:c r="C749" t="str">
        <x:v>P008</x:v>
      </x:c>
      <x:c r="D749" t="str">
        <x:v>Webcam</x:v>
      </x:c>
      <x:c r="E749" t="str">
        <x:v>Electronics</x:v>
      </x:c>
      <x:c r="F749" t="str">
        <x:v>South</x:v>
      </x:c>
      <x:c r="G749" t="str">
        <x:v>Partner</x:v>
      </x:c>
      <x:c r="H749" t="str">
        <x:v>Completed</x:v>
      </x:c>
      <x:c r="I749" t="n">
        <x:v>3</x:v>
      </x:c>
      <x:c r="J749" s="12" t="n">
        <x:v>90.53</x:v>
      </x:c>
      <x:c r="K749" s="12" t="n">
        <x:v>42.61</x:v>
      </x:c>
      <x:c r="L749" s="14" t="n">
        <x:v>0.15</x:v>
      </x:c>
      <x:c r="M749" s="12" t="n">
        <x:f>IF(H749="Completed",I749*J749*(1-L749),0)</x:f>
        <x:v>230.85150000000002</x:v>
      </x:c>
      <x:c r="N749" s="12" t="n">
        <x:f>IF(H749="Completed",I749*K749,0)</x:f>
        <x:v>127.83</x:v>
      </x:c>
      <x:c r="O749" s="12" t="n">
        <x:f>M749-N749</x:f>
        <x:v>103.02150000000002</x:v>
      </x:c>
      <x:c r="P749" s="16" t="n">
        <x:f>IFERROR(O749/M749,0)</x:f>
        <x:v>0.4462674056698787</x:v>
      </x:c>
      <x:c r="Q749" t="n">
        <x:f>YEAR(B749)</x:f>
        <x:v>2026</x:v>
      </x:c>
      <x:c r="R749" t="str">
        <x:f>TEXT(B749,"yyyy-mm")</x:f>
        <x:v>2026-02</x:v>
      </x:c>
    </x:row>
    <x:row r="750">
      <x:c r="A750" t="n">
        <x:v>10914</x:v>
      </x:c>
      <x:c r="B750" s="10" t="n">
        <x:v>46055</x:v>
      </x:c>
      <x:c r="C750" t="str">
        <x:v>P002</x:v>
      </x:c>
      <x:c r="D750" t="str">
        <x:v>Monitor</x:v>
      </x:c>
      <x:c r="E750" t="str">
        <x:v>Electronics</x:v>
      </x:c>
      <x:c r="F750" t="str">
        <x:v>Midlands</x:v>
      </x:c>
      <x:c r="G750" t="str">
        <x:v>Retail</x:v>
      </x:c>
      <x:c r="H750" t="str">
        <x:v>Completed</x:v>
      </x:c>
      <x:c r="I750" t="n">
        <x:v>2</x:v>
      </x:c>
      <x:c r="J750" s="12" t="n">
        <x:v>290.99</x:v>
      </x:c>
      <x:c r="K750" s="12" t="n">
        <x:v>168.93</x:v>
      </x:c>
      <x:c r="L750" s="14" t="n">
        <x:v>0.1</x:v>
      </x:c>
      <x:c r="M750" s="12" t="n">
        <x:f>IF(H750="Completed",I750*J750*(1-L750),0)</x:f>
        <x:v>523.782</x:v>
      </x:c>
      <x:c r="N750" s="12" t="n">
        <x:f>IF(H750="Completed",I750*K750,0)</x:f>
        <x:v>337.86</x:v>
      </x:c>
      <x:c r="O750" s="12" t="n">
        <x:f>M750-N750</x:f>
        <x:v>185.92200000000003</x:v>
      </x:c>
      <x:c r="P750" s="16" t="n">
        <x:f>IFERROR(O750/M750,0)</x:f>
        <x:v>0.3549606515687825</x:v>
      </x:c>
      <x:c r="Q750" t="n">
        <x:f>YEAR(B750)</x:f>
        <x:v>2026</x:v>
      </x:c>
      <x:c r="R750" t="str">
        <x:f>TEXT(B750,"yyyy-mm")</x:f>
        <x:v>2026-02</x:v>
      </x:c>
    </x:row>
    <x:row r="751">
      <x:c r="A751" t="n">
        <x:v>10825</x:v>
      </x:c>
      <x:c r="B751" s="10" t="n">
        <x:v>46057</x:v>
      </x:c>
      <x:c r="C751" t="str">
        <x:v>P006</x:v>
      </x:c>
      <x:c r="D751" t="str">
        <x:v>Chair</x:v>
      </x:c>
      <x:c r="E751" t="str">
        <x:v>Furniture</x:v>
      </x:c>
      <x:c r="F751" t="str">
        <x:v>Midlands</x:v>
      </x:c>
      <x:c r="G751" t="str">
        <x:v>Partner</x:v>
      </x:c>
      <x:c r="H751" t="str">
        <x:v>Cancelled</x:v>
      </x:c>
      <x:c r="I751" t="n">
        <x:v>4</x:v>
      </x:c>
      <x:c r="J751" s="12" t="n">
        <x:v>135.84</x:v>
      </x:c>
      <x:c r="K751" s="12" t="n">
        <x:v>68.12</x:v>
      </x:c>
      <x:c r="L751" s="14" t="n">
        <x:v>0</x:v>
      </x:c>
      <x:c r="M751" s="12" t="n">
        <x:f>IF(H751="Completed",I751*J751*(1-L751),0)</x:f>
        <x:v>0</x:v>
      </x:c>
      <x:c r="N751" s="12" t="n">
        <x:f>IF(H751="Completed",I751*K751,0)</x:f>
        <x:v>0</x:v>
      </x:c>
      <x:c r="O751" s="12" t="n">
        <x:f>M751-N751</x:f>
        <x:v>0</x:v>
      </x:c>
      <x:c r="P751" s="16" t="n">
        <x:f>IFERROR(O751/M751,0)</x:f>
        <x:v>0</x:v>
      </x:c>
      <x:c r="Q751" t="n">
        <x:f>YEAR(B751)</x:f>
        <x:v>2026</x:v>
      </x:c>
      <x:c r="R751" t="str">
        <x:f>TEXT(B751,"yyyy-mm")</x:f>
        <x:v>2026-02</x:v>
      </x:c>
    </x:row>
    <x:row r="752">
      <x:c r="A752" t="n">
        <x:v>10540</x:v>
      </x:c>
      <x:c r="B752" s="10" t="n">
        <x:v>46059</x:v>
      </x:c>
      <x:c r="C752" t="str">
        <x:v>P002</x:v>
      </x:c>
      <x:c r="D752" t="str">
        <x:v>Monitor</x:v>
      </x:c>
      <x:c r="E752" t="str">
        <x:v>Electronics</x:v>
      </x:c>
      <x:c r="F752" t="str">
        <x:v>North</x:v>
      </x:c>
      <x:c r="G752" t="str">
        <x:v>Online</x:v>
      </x:c>
      <x:c r="H752" t="str">
        <x:v>Completed</x:v>
      </x:c>
      <x:c r="I752" t="n">
        <x:v>2</x:v>
      </x:c>
      <x:c r="J752" s="12" t="n">
        <x:v>287.39</x:v>
      </x:c>
      <x:c r="K752" s="12" t="n">
        <x:v>166.82</x:v>
      </x:c>
      <x:c r="L752" s="14" t="n">
        <x:v>0.05</x:v>
      </x:c>
      <x:c r="M752" s="12" t="n">
        <x:f>IF(H752="Completed",I752*J752*(1-L752),0)</x:f>
        <x:v>546.0409999999999</x:v>
      </x:c>
      <x:c r="N752" s="12" t="n">
        <x:f>IF(H752="Completed",I752*K752,0)</x:f>
        <x:v>333.64</x:v>
      </x:c>
      <x:c r="O752" s="12" t="n">
        <x:f>M752-N752</x:f>
        <x:v>212.40099999999995</x:v>
      </x:c>
      <x:c r="P752" s="16" t="n">
        <x:f>IFERROR(O752/M752,0)</x:f>
        <x:v>0.3889836111207766</x:v>
      </x:c>
      <x:c r="Q752" t="n">
        <x:f>YEAR(B752)</x:f>
        <x:v>2026</x:v>
      </x:c>
      <x:c r="R752" t="str">
        <x:f>TEXT(B752,"yyyy-mm")</x:f>
        <x:v>2026-02</x:v>
      </x:c>
    </x:row>
    <x:row r="753">
      <x:c r="A753" t="n">
        <x:v>10313</x:v>
      </x:c>
      <x:c r="B753" s="10" t="n">
        <x:v>46060</x:v>
      </x:c>
      <x:c r="C753" t="str">
        <x:v>P007</x:v>
      </x:c>
      <x:c r="D753" t="str">
        <x:v>Headset</x:v>
      </x:c>
      <x:c r="E753" t="str">
        <x:v>Accessories</x:v>
      </x:c>
      <x:c r="F753" t="str">
        <x:v>Wales</x:v>
      </x:c>
      <x:c r="G753" t="str">
        <x:v>Partner</x:v>
      </x:c>
      <x:c r="H753" t="str">
        <x:v>Completed</x:v>
      </x:c>
      <x:c r="I753" t="n">
        <x:v>1</x:v>
      </x:c>
      <x:c r="J753" s="12" t="n">
        <x:v>74.21</x:v>
      </x:c>
      <x:c r="K753" s="12" t="n">
        <x:v>34.74</x:v>
      </x:c>
      <x:c r="L753" s="14" t="n">
        <x:v>0.15</x:v>
      </x:c>
      <x:c r="M753" s="12" t="n">
        <x:f>IF(H753="Completed",I753*J753*(1-L753),0)</x:f>
        <x:v>63.07849999999999</x:v>
      </x:c>
      <x:c r="N753" s="12" t="n">
        <x:f>IF(H753="Completed",I753*K753,0)</x:f>
        <x:v>34.74</x:v>
      </x:c>
      <x:c r="O753" s="12" t="n">
        <x:f>M753-N753</x:f>
        <x:v>28.33849999999999</x:v>
      </x:c>
      <x:c r="P753" s="16" t="n">
        <x:f>IFERROR(O753/M753,0)</x:f>
        <x:v>0.44925767099724934</x:v>
      </x:c>
      <x:c r="Q753" t="n">
        <x:f>YEAR(B753)</x:f>
        <x:v>2026</x:v>
      </x:c>
      <x:c r="R753" t="str">
        <x:f>TEXT(B753,"yyyy-mm")</x:f>
        <x:v>2026-02</x:v>
      </x:c>
    </x:row>
    <x:row r="754">
      <x:c r="A754" t="n">
        <x:v>10892</x:v>
      </x:c>
      <x:c r="B754" s="10" t="n">
        <x:v>46060</x:v>
      </x:c>
      <x:c r="C754" t="str">
        <x:v>P008</x:v>
      </x:c>
      <x:c r="D754" t="str">
        <x:v>Webcam</x:v>
      </x:c>
      <x:c r="E754" t="str">
        <x:v>Electronics</x:v>
      </x:c>
      <x:c r="F754" t="str">
        <x:v>North</x:v>
      </x:c>
      <x:c r="G754" t="str">
        <x:v>Partner</x:v>
      </x:c>
      <x:c r="H754" t="str">
        <x:v>Completed</x:v>
      </x:c>
      <x:c r="I754" t="n">
        <x:v>1</x:v>
      </x:c>
      <x:c r="J754" s="12" t="n">
        <x:v>88.04</x:v>
      </x:c>
      <x:c r="K754" s="12" t="n">
        <x:v>41.59</x:v>
      </x:c>
      <x:c r="L754" s="14" t="n">
        <x:v>0</x:v>
      </x:c>
      <x:c r="M754" s="12" t="n">
        <x:f>IF(H754="Completed",I754*J754*(1-L754),0)</x:f>
        <x:v>88.04</x:v>
      </x:c>
      <x:c r="N754" s="12" t="n">
        <x:f>IF(H754="Completed",I754*K754,0)</x:f>
        <x:v>41.59</x:v>
      </x:c>
      <x:c r="O754" s="12" t="n">
        <x:f>M754-N754</x:f>
        <x:v>46.45</x:v>
      </x:c>
      <x:c r="P754" s="16" t="n">
        <x:f>IFERROR(O754/M754,0)</x:f>
        <x:v>0.5276010904134484</x:v>
      </x:c>
      <x:c r="Q754" t="n">
        <x:f>YEAR(B754)</x:f>
        <x:v>2026</x:v>
      </x:c>
      <x:c r="R754" t="str">
        <x:f>TEXT(B754,"yyyy-mm")</x:f>
        <x:v>2026-02</x:v>
      </x:c>
    </x:row>
    <x:row r="755">
      <x:c r="A755" t="n">
        <x:v>10309</x:v>
      </x:c>
      <x:c r="B755" s="10" t="n">
        <x:v>46061</x:v>
      </x:c>
      <x:c r="C755" t="str">
        <x:v>P004</x:v>
      </x:c>
      <x:c r="D755" t="str">
        <x:v>Mouse</x:v>
      </x:c>
      <x:c r="E755" t="str">
        <x:v>Accessories</x:v>
      </x:c>
      <x:c r="F755" t="str">
        <x:v>Scotland</x:v>
      </x:c>
      <x:c r="G755" t="str">
        <x:v>Online</x:v>
      </x:c>
      <x:c r="H755" t="str">
        <x:v>Completed</x:v>
      </x:c>
      <x:c r="I755" t="n">
        <x:v>3</x:v>
      </x:c>
      <x:c r="J755" s="12" t="n">
        <x:v>27.82</x:v>
      </x:c>
      <x:c r="K755" s="12" t="n">
        <x:v>12.8</x:v>
      </x:c>
      <x:c r="L755" s="14" t="n">
        <x:v>0</x:v>
      </x:c>
      <x:c r="M755" s="12" t="n">
        <x:f>IF(H755="Completed",I755*J755*(1-L755),0)</x:f>
        <x:v>83.46000000000001</x:v>
      </x:c>
      <x:c r="N755" s="12" t="n">
        <x:f>IF(H755="Completed",I755*K755,0)</x:f>
        <x:v>38.400000000000006</x:v>
      </x:c>
      <x:c r="O755" s="12" t="n">
        <x:f>M755-N755</x:f>
        <x:v>45.06</x:v>
      </x:c>
      <x:c r="P755" s="16" t="n">
        <x:f>IFERROR(O755/M755,0)</x:f>
        <x:v>0.5398993529834651</x:v>
      </x:c>
      <x:c r="Q755" t="n">
        <x:f>YEAR(B755)</x:f>
        <x:v>2026</x:v>
      </x:c>
      <x:c r="R755" t="str">
        <x:f>TEXT(B755,"yyyy-mm")</x:f>
        <x:v>2026-02</x:v>
      </x:c>
    </x:row>
    <x:row r="756">
      <x:c r="A756" t="n">
        <x:v>10066</x:v>
      </x:c>
      <x:c r="B756" s="10" t="n">
        <x:v>46062</x:v>
      </x:c>
      <x:c r="C756" t="str">
        <x:v>P007</x:v>
      </x:c>
      <x:c r="D756" t="str">
        <x:v>Headset</x:v>
      </x:c>
      <x:c r="E756" t="str">
        <x:v>Accessories</x:v>
      </x:c>
      <x:c r="F756" t="str">
        <x:v>Scotland</x:v>
      </x:c>
      <x:c r="G756" t="str">
        <x:v>Online</x:v>
      </x:c>
      <x:c r="H756" t="str">
        <x:v>Cancelled</x:v>
      </x:c>
      <x:c r="I756" t="n">
        <x:v>3</x:v>
      </x:c>
      <x:c r="J756" s="12" t="n">
        <x:v>74.88</x:v>
      </x:c>
      <x:c r="K756" s="12" t="n">
        <x:v>34.91</x:v>
      </x:c>
      <x:c r="L756" s="14" t="n">
        <x:v>0</x:v>
      </x:c>
      <x:c r="M756" s="12" t="n">
        <x:f>IF(H756="Completed",I756*J756*(1-L756),0)</x:f>
        <x:v>0</x:v>
      </x:c>
      <x:c r="N756" s="12" t="n">
        <x:f>IF(H756="Completed",I756*K756,0)</x:f>
        <x:v>0</x:v>
      </x:c>
      <x:c r="O756" s="12" t="n">
        <x:f>M756-N756</x:f>
        <x:v>0</x:v>
      </x:c>
      <x:c r="P756" s="16" t="n">
        <x:f>IFERROR(O756/M756,0)</x:f>
        <x:v>0</x:v>
      </x:c>
      <x:c r="Q756" t="n">
        <x:f>YEAR(B756)</x:f>
        <x:v>2026</x:v>
      </x:c>
      <x:c r="R756" t="str">
        <x:f>TEXT(B756,"yyyy-mm")</x:f>
        <x:v>2026-02</x:v>
      </x:c>
    </x:row>
    <x:row r="757">
      <x:c r="A757" t="n">
        <x:v>10292</x:v>
      </x:c>
      <x:c r="B757" s="10" t="n">
        <x:v>46062</x:v>
      </x:c>
      <x:c r="C757" t="str">
        <x:v>P006</x:v>
      </x:c>
      <x:c r="D757" t="str">
        <x:v>Chair</x:v>
      </x:c>
      <x:c r="E757" t="str">
        <x:v>Furniture</x:v>
      </x:c>
      <x:c r="F757" t="str">
        <x:v>North</x:v>
      </x:c>
      <x:c r="G757" t="str">
        <x:v>Online</x:v>
      </x:c>
      <x:c r="H757" t="str">
        <x:v>Completed</x:v>
      </x:c>
      <x:c r="I757" t="n">
        <x:v>4</x:v>
      </x:c>
      <x:c r="J757" s="12" t="n">
        <x:v>138.01</x:v>
      </x:c>
      <x:c r="K757" s="12" t="n">
        <x:v>68.54</x:v>
      </x:c>
      <x:c r="L757" s="14" t="n">
        <x:v>0.1</x:v>
      </x:c>
      <x:c r="M757" s="12" t="n">
        <x:f>IF(H757="Completed",I757*J757*(1-L757),0)</x:f>
        <x:v>496.83599999999996</x:v>
      </x:c>
      <x:c r="N757" s="12" t="n">
        <x:f>IF(H757="Completed",I757*K757,0)</x:f>
        <x:v>274.16</x:v>
      </x:c>
      <x:c r="O757" s="12" t="n">
        <x:f>M757-N757</x:f>
        <x:v>222.67599999999993</x:v>
      </x:c>
      <x:c r="P757" s="16" t="n">
        <x:f>IFERROR(O757/M757,0)</x:f>
        <x:v>0.44818813451521217</x:v>
      </x:c>
      <x:c r="Q757" t="n">
        <x:f>YEAR(B757)</x:f>
        <x:v>2026</x:v>
      </x:c>
      <x:c r="R757" t="str">
        <x:f>TEXT(B757,"yyyy-mm")</x:f>
        <x:v>2026-02</x:v>
      </x:c>
    </x:row>
    <x:row r="758">
      <x:c r="A758" t="n">
        <x:v>10465</x:v>
      </x:c>
      <x:c r="B758" s="10" t="n">
        <x:v>46062</x:v>
      </x:c>
      <x:c r="C758" t="str">
        <x:v>P001</x:v>
      </x:c>
      <x:c r="D758" t="str">
        <x:v>Laptop</x:v>
      </x:c>
      <x:c r="E758" t="str">
        <x:v>Electronics</x:v>
      </x:c>
      <x:c r="F758" t="str">
        <x:v>South</x:v>
      </x:c>
      <x:c r="G758" t="str">
        <x:v>Online</x:v>
      </x:c>
      <x:c r="H758" t="str">
        <x:v>Cancelled</x:v>
      </x:c>
      <x:c r="I758" t="n">
        <x:v>1</x:v>
      </x:c>
      <x:c r="J758" s="12" t="n">
        <x:v>908.1</x:v>
      </x:c>
      <x:c r="K758" s="12" t="n">
        <x:v>608.84</x:v>
      </x:c>
      <x:c r="L758" s="14" t="n">
        <x:v>0.1</x:v>
      </x:c>
      <x:c r="M758" s="12" t="n">
        <x:f>IF(H758="Completed",I758*J758*(1-L758),0)</x:f>
        <x:v>0</x:v>
      </x:c>
      <x:c r="N758" s="12" t="n">
        <x:f>IF(H758="Completed",I758*K758,0)</x:f>
        <x:v>0</x:v>
      </x:c>
      <x:c r="O758" s="12" t="n">
        <x:f>M758-N758</x:f>
        <x:v>0</x:v>
      </x:c>
      <x:c r="P758" s="16" t="n">
        <x:f>IFERROR(O758/M758,0)</x:f>
        <x:v>0</x:v>
      </x:c>
      <x:c r="Q758" t="n">
        <x:f>YEAR(B758)</x:f>
        <x:v>2026</x:v>
      </x:c>
      <x:c r="R758" t="str">
        <x:f>TEXT(B758,"yyyy-mm")</x:f>
        <x:v>2026-02</x:v>
      </x:c>
    </x:row>
    <x:row r="759">
      <x:c r="A759" t="n">
        <x:v>10726</x:v>
      </x:c>
      <x:c r="B759" s="10" t="n">
        <x:v>46062</x:v>
      </x:c>
      <x:c r="C759" t="str">
        <x:v>P004</x:v>
      </x:c>
      <x:c r="D759" t="str">
        <x:v>Mouse</x:v>
      </x:c>
      <x:c r="E759" t="str">
        <x:v>Accessories</x:v>
      </x:c>
      <x:c r="F759" t="str">
        <x:v>Midlands</x:v>
      </x:c>
      <x:c r="G759" t="str">
        <x:v>Partner</x:v>
      </x:c>
      <x:c r="H759" t="str">
        <x:v>Cancelled</x:v>
      </x:c>
      <x:c r="I759" t="n">
        <x:v>2</x:v>
      </x:c>
      <x:c r="J759" s="12" t="n">
        <x:v>26.99</x:v>
      </x:c>
      <x:c r="K759" s="12" t="n">
        <x:v>12.78</x:v>
      </x:c>
      <x:c r="L759" s="14" t="n">
        <x:v>0.15</x:v>
      </x:c>
      <x:c r="M759" s="12" t="n">
        <x:f>IF(H759="Completed",I759*J759*(1-L759),0)</x:f>
        <x:v>0</x:v>
      </x:c>
      <x:c r="N759" s="12" t="n">
        <x:f>IF(H759="Completed",I759*K759,0)</x:f>
        <x:v>0</x:v>
      </x:c>
      <x:c r="O759" s="12" t="n">
        <x:f>M759-N759</x:f>
        <x:v>0</x:v>
      </x:c>
      <x:c r="P759" s="16" t="n">
        <x:f>IFERROR(O759/M759,0)</x:f>
        <x:v>0</x:v>
      </x:c>
      <x:c r="Q759" t="n">
        <x:f>YEAR(B759)</x:f>
        <x:v>2026</x:v>
      </x:c>
      <x:c r="R759" t="str">
        <x:f>TEXT(B759,"yyyy-mm")</x:f>
        <x:v>2026-02</x:v>
      </x:c>
    </x:row>
    <x:row r="760">
      <x:c r="A760" t="n">
        <x:v>10062</x:v>
      </x:c>
      <x:c r="B760" s="10" t="n">
        <x:v>46063</x:v>
      </x:c>
      <x:c r="C760" t="str">
        <x:v>P007</x:v>
      </x:c>
      <x:c r="D760" t="str">
        <x:v>Headset</x:v>
      </x:c>
      <x:c r="E760" t="str">
        <x:v>Accessories</x:v>
      </x:c>
      <x:c r="F760" t="str">
        <x:v>South</x:v>
      </x:c>
      <x:c r="G760" t="str">
        <x:v>Retail</x:v>
      </x:c>
      <x:c r="H760" t="str">
        <x:v>Cancelled</x:v>
      </x:c>
      <x:c r="I760" t="n">
        <x:v>4</x:v>
      </x:c>
      <x:c r="J760" s="12" t="n">
        <x:v>72.3</x:v>
      </x:c>
      <x:c r="K760" s="12" t="n">
        <x:v>34.78</x:v>
      </x:c>
      <x:c r="L760" s="14" t="n">
        <x:v>0</x:v>
      </x:c>
      <x:c r="M760" s="12" t="n">
        <x:f>IF(H760="Completed",I760*J760*(1-L760),0)</x:f>
        <x:v>0</x:v>
      </x:c>
      <x:c r="N760" s="12" t="n">
        <x:f>IF(H760="Completed",I760*K760,0)</x:f>
        <x:v>0</x:v>
      </x:c>
      <x:c r="O760" s="12" t="n">
        <x:f>M760-N760</x:f>
        <x:v>0</x:v>
      </x:c>
      <x:c r="P760" s="16" t="n">
        <x:f>IFERROR(O760/M760,0)</x:f>
        <x:v>0</x:v>
      </x:c>
      <x:c r="Q760" t="n">
        <x:f>YEAR(B760)</x:f>
        <x:v>2026</x:v>
      </x:c>
      <x:c r="R760" t="str">
        <x:f>TEXT(B760,"yyyy-mm")</x:f>
        <x:v>2026-02</x:v>
      </x:c>
    </x:row>
    <x:row r="761">
      <x:c r="A761" t="n">
        <x:v>10456</x:v>
      </x:c>
      <x:c r="B761" s="10" t="n">
        <x:v>46063</x:v>
      </x:c>
      <x:c r="C761" t="str">
        <x:v>P001</x:v>
      </x:c>
      <x:c r="D761" t="str">
        <x:v>Laptop</x:v>
      </x:c>
      <x:c r="E761" t="str">
        <x:v>Electronics</x:v>
      </x:c>
      <x:c r="F761" t="str">
        <x:v>Scotland</x:v>
      </x:c>
      <x:c r="G761" t="str">
        <x:v>Online</x:v>
      </x:c>
      <x:c r="H761" t="str">
        <x:v>Cancelled</x:v>
      </x:c>
      <x:c r="I761" t="n">
        <x:v>3</x:v>
      </x:c>
      <x:c r="J761" s="12" t="n">
        <x:v>940.21</x:v>
      </x:c>
      <x:c r="K761" s="12" t="n">
        <x:v>625</x:v>
      </x:c>
      <x:c r="L761" s="14" t="n">
        <x:v>0</x:v>
      </x:c>
      <x:c r="M761" s="12" t="n">
        <x:f>IF(H761="Completed",I761*J761*(1-L761),0)</x:f>
        <x:v>0</x:v>
      </x:c>
      <x:c r="N761" s="12" t="n">
        <x:f>IF(H761="Completed",I761*K761,0)</x:f>
        <x:v>0</x:v>
      </x:c>
      <x:c r="O761" s="12" t="n">
        <x:f>M761-N761</x:f>
        <x:v>0</x:v>
      </x:c>
      <x:c r="P761" s="16" t="n">
        <x:f>IFERROR(O761/M761,0)</x:f>
        <x:v>0</x:v>
      </x:c>
      <x:c r="Q761" t="n">
        <x:f>YEAR(B761)</x:f>
        <x:v>2026</x:v>
      </x:c>
      <x:c r="R761" t="str">
        <x:f>TEXT(B761,"yyyy-mm")</x:f>
        <x:v>2026-02</x:v>
      </x:c>
    </x:row>
    <x:row r="762">
      <x:c r="A762" t="n">
        <x:v>10719</x:v>
      </x:c>
      <x:c r="B762" s="10" t="n">
        <x:v>46063</x:v>
      </x:c>
      <x:c r="C762" t="str">
        <x:v>P001</x:v>
      </x:c>
      <x:c r="D762" t="str">
        <x:v>Laptop</x:v>
      </x:c>
      <x:c r="E762" t="str">
        <x:v>Electronics</x:v>
      </x:c>
      <x:c r="F762" t="str">
        <x:v>Wales</x:v>
      </x:c>
      <x:c r="G762" t="str">
        <x:v>Online</x:v>
      </x:c>
      <x:c r="H762" t="str">
        <x:v>Completed</x:v>
      </x:c>
      <x:c r="I762" t="n">
        <x:v>4</x:v>
      </x:c>
      <x:c r="J762" s="12" t="n">
        <x:v>934.11</x:v>
      </x:c>
      <x:c r="K762" s="12" t="n">
        <x:v>610.41</x:v>
      </x:c>
      <x:c r="L762" s="14" t="n">
        <x:v>0</x:v>
      </x:c>
      <x:c r="M762" s="12" t="n">
        <x:f>IF(H762="Completed",I762*J762*(1-L762),0)</x:f>
        <x:v>3736.44</x:v>
      </x:c>
      <x:c r="N762" s="12" t="n">
        <x:f>IF(H762="Completed",I762*K762,0)</x:f>
        <x:v>2441.64</x:v>
      </x:c>
      <x:c r="O762" s="12" t="n">
        <x:f>M762-N762</x:f>
        <x:v>1294.8000000000002</x:v>
      </x:c>
      <x:c r="P762" s="16" t="n">
        <x:f>IFERROR(O762/M762,0)</x:f>
        <x:v>0.34653306355782515</x:v>
      </x:c>
      <x:c r="Q762" t="n">
        <x:f>YEAR(B762)</x:f>
        <x:v>2026</x:v>
      </x:c>
      <x:c r="R762" t="str">
        <x:f>TEXT(B762,"yyyy-mm")</x:f>
        <x:v>2026-02</x:v>
      </x:c>
    </x:row>
    <x:row r="763">
      <x:c r="A763" t="n">
        <x:v>10120</x:v>
      </x:c>
      <x:c r="B763" s="10" t="n">
        <x:v>46064</x:v>
      </x:c>
      <x:c r="C763" t="str">
        <x:v>P004</x:v>
      </x:c>
      <x:c r="D763" t="str">
        <x:v>Mouse</x:v>
      </x:c>
      <x:c r="E763" t="str">
        <x:v>Accessories</x:v>
      </x:c>
      <x:c r="F763" t="str">
        <x:v>Wales</x:v>
      </x:c>
      <x:c r="G763" t="str">
        <x:v>Retail</x:v>
      </x:c>
      <x:c r="H763" t="str">
        <x:v>Completed</x:v>
      </x:c>
      <x:c r="I763" t="n">
        <x:v>4</x:v>
      </x:c>
      <x:c r="J763" s="12" t="n">
        <x:v>27.68</x:v>
      </x:c>
      <x:c r="K763" s="12" t="n">
        <x:v>12.75</x:v>
      </x:c>
      <x:c r="L763" s="14" t="n">
        <x:v>0</x:v>
      </x:c>
      <x:c r="M763" s="12" t="n">
        <x:f>IF(H763="Completed",I763*J763*(1-L763),0)</x:f>
        <x:v>110.72</x:v>
      </x:c>
      <x:c r="N763" s="12" t="n">
        <x:f>IF(H763="Completed",I763*K763,0)</x:f>
        <x:v>51</x:v>
      </x:c>
      <x:c r="O763" s="12" t="n">
        <x:f>M763-N763</x:f>
        <x:v>59.72</x:v>
      </x:c>
      <x:c r="P763" s="16" t="n">
        <x:f>IFERROR(O763/M763,0)</x:f>
        <x:v>0.539378612716763</x:v>
      </x:c>
      <x:c r="Q763" t="n">
        <x:f>YEAR(B763)</x:f>
        <x:v>2026</x:v>
      </x:c>
      <x:c r="R763" t="str">
        <x:f>TEXT(B763,"yyyy-mm")</x:f>
        <x:v>2026-02</x:v>
      </x:c>
    </x:row>
    <x:row r="764">
      <x:c r="A764" t="n">
        <x:v>10472</x:v>
      </x:c>
      <x:c r="B764" s="10" t="n">
        <x:v>46066</x:v>
      </x:c>
      <x:c r="C764" t="str">
        <x:v>P001</x:v>
      </x:c>
      <x:c r="D764" t="str">
        <x:v>Laptop</x:v>
      </x:c>
      <x:c r="E764" t="str">
        <x:v>Electronics</x:v>
      </x:c>
      <x:c r="F764" t="str">
        <x:v>Midlands</x:v>
      </x:c>
      <x:c r="G764" t="str">
        <x:v>Online</x:v>
      </x:c>
      <x:c r="H764" t="str">
        <x:v>Completed</x:v>
      </x:c>
      <x:c r="I764" t="n">
        <x:v>1</x:v>
      </x:c>
      <x:c r="J764" s="12" t="n">
        <x:v>911.81</x:v>
      </x:c>
      <x:c r="K764" s="12" t="n">
        <x:v>610.28</x:v>
      </x:c>
      <x:c r="L764" s="14" t="n">
        <x:v>0.15</x:v>
      </x:c>
      <x:c r="M764" s="12" t="n">
        <x:f>IF(H764="Completed",I764*J764*(1-L764),0)</x:f>
        <x:v>775.0384999999999</x:v>
      </x:c>
      <x:c r="N764" s="12" t="n">
        <x:f>IF(H764="Completed",I764*K764,0)</x:f>
        <x:v>610.28</x:v>
      </x:c>
      <x:c r="O764" s="12" t="n">
        <x:f>M764-N764</x:f>
        <x:v>164.7584999999999</x:v>
      </x:c>
      <x:c r="P764" s="16" t="n">
        <x:f>IFERROR(O764/M764,0)</x:f>
        <x:v>0.2125810524251375</x:v>
      </x:c>
      <x:c r="Q764" t="n">
        <x:f>YEAR(B764)</x:f>
        <x:v>2026</x:v>
      </x:c>
      <x:c r="R764" t="str">
        <x:f>TEXT(B764,"yyyy-mm")</x:f>
        <x:v>2026-02</x:v>
      </x:c>
    </x:row>
    <x:row r="765">
      <x:c r="A765" t="n">
        <x:v>10778</x:v>
      </x:c>
      <x:c r="B765" s="10" t="n">
        <x:v>46070</x:v>
      </x:c>
      <x:c r="C765" t="str">
        <x:v>P002</x:v>
      </x:c>
      <x:c r="D765" t="str">
        <x:v>Monitor</x:v>
      </x:c>
      <x:c r="E765" t="str">
        <x:v>Electronics</x:v>
      </x:c>
      <x:c r="F765" t="str">
        <x:v>Scotland</x:v>
      </x:c>
      <x:c r="G765" t="str">
        <x:v>Online</x:v>
      </x:c>
      <x:c r="H765" t="str">
        <x:v>Completed</x:v>
      </x:c>
      <x:c r="I765" t="n">
        <x:v>4</x:v>
      </x:c>
      <x:c r="J765" s="12" t="n">
        <x:v>286.52</x:v>
      </x:c>
      <x:c r="K765" s="12" t="n">
        <x:v>171.21</x:v>
      </x:c>
      <x:c r="L765" s="14" t="n">
        <x:v>0.05</x:v>
      </x:c>
      <x:c r="M765" s="12" t="n">
        <x:f>IF(H765="Completed",I765*J765*(1-L765),0)</x:f>
        <x:v>1088.7759999999998</x:v>
      </x:c>
      <x:c r="N765" s="12" t="n">
        <x:f>IF(H765="Completed",I765*K765,0)</x:f>
        <x:v>684.84</x:v>
      </x:c>
      <x:c r="O765" s="12" t="n">
        <x:f>M765-N765</x:f>
        <x:v>403.9359999999998</x:v>
      </x:c>
      <x:c r="P765" s="16" t="n">
        <x:f>IFERROR(O765/M765,0)</x:f>
        <x:v>0.3710000955201069</x:v>
      </x:c>
      <x:c r="Q765" t="n">
        <x:f>YEAR(B765)</x:f>
        <x:v>2026</x:v>
      </x:c>
      <x:c r="R765" t="str">
        <x:f>TEXT(B765,"yyyy-mm")</x:f>
        <x:v>2026-02</x:v>
      </x:c>
    </x:row>
    <x:row r="766">
      <x:c r="A766" t="n">
        <x:v>10085</x:v>
      </x:c>
      <x:c r="B766" s="10" t="n">
        <x:v>46074</x:v>
      </x:c>
      <x:c r="C766" t="str">
        <x:v>P007</x:v>
      </x:c>
      <x:c r="D766" t="str">
        <x:v>Headset</x:v>
      </x:c>
      <x:c r="E766" t="str">
        <x:v>Accessories</x:v>
      </x:c>
      <x:c r="F766" t="str">
        <x:v>Scotland</x:v>
      </x:c>
      <x:c r="G766" t="str">
        <x:v>Online</x:v>
      </x:c>
      <x:c r="H766" t="str">
        <x:v>Completed</x:v>
      </x:c>
      <x:c r="I766" t="n">
        <x:v>2</x:v>
      </x:c>
      <x:c r="J766" s="12" t="n">
        <x:v>74.18</x:v>
      </x:c>
      <x:c r="K766" s="12" t="n">
        <x:v>36.03</x:v>
      </x:c>
      <x:c r="L766" s="14" t="n">
        <x:v>0</x:v>
      </x:c>
      <x:c r="M766" s="12" t="n">
        <x:f>IF(H766="Completed",I766*J766*(1-L766),0)</x:f>
        <x:v>148.36</x:v>
      </x:c>
      <x:c r="N766" s="12" t="n">
        <x:f>IF(H766="Completed",I766*K766,0)</x:f>
        <x:v>72.06</x:v>
      </x:c>
      <x:c r="O766" s="12" t="n">
        <x:f>M766-N766</x:f>
        <x:v>76.30000000000001</x:v>
      </x:c>
      <x:c r="P766" s="16" t="n">
        <x:f>IFERROR(O766/M766,0)</x:f>
        <x:v>0.5142895659207334</x:v>
      </x:c>
      <x:c r="Q766" t="n">
        <x:f>YEAR(B766)</x:f>
        <x:v>2026</x:v>
      </x:c>
      <x:c r="R766" t="str">
        <x:f>TEXT(B766,"yyyy-mm")</x:f>
        <x:v>2026-02</x:v>
      </x:c>
    </x:row>
    <x:row r="767">
      <x:c r="A767" t="n">
        <x:v>10211</x:v>
      </x:c>
      <x:c r="B767" s="10" t="n">
        <x:v>46074</x:v>
      </x:c>
      <x:c r="C767" t="str">
        <x:v>P007</x:v>
      </x:c>
      <x:c r="D767" t="str">
        <x:v>Headset</x:v>
      </x:c>
      <x:c r="E767" t="str">
        <x:v>Accessories</x:v>
      </x:c>
      <x:c r="F767" t="str">
        <x:v>North</x:v>
      </x:c>
      <x:c r="G767" t="str">
        <x:v>Online</x:v>
      </x:c>
      <x:c r="H767" t="str">
        <x:v>Cancelled</x:v>
      </x:c>
      <x:c r="I767" t="n">
        <x:v>3</x:v>
      </x:c>
      <x:c r="J767" s="12" t="n">
        <x:v>71.67</x:v>
      </x:c>
      <x:c r="K767" s="12" t="n">
        <x:v>34.81</x:v>
      </x:c>
      <x:c r="L767" s="14" t="n">
        <x:v>0</x:v>
      </x:c>
      <x:c r="M767" s="12" t="n">
        <x:f>IF(H767="Completed",I767*J767*(1-L767),0)</x:f>
        <x:v>0</x:v>
      </x:c>
      <x:c r="N767" s="12" t="n">
        <x:f>IF(H767="Completed",I767*K767,0)</x:f>
        <x:v>0</x:v>
      </x:c>
      <x:c r="O767" s="12" t="n">
        <x:f>M767-N767</x:f>
        <x:v>0</x:v>
      </x:c>
      <x:c r="P767" s="16" t="n">
        <x:f>IFERROR(O767/M767,0)</x:f>
        <x:v>0</x:v>
      </x:c>
      <x:c r="Q767" t="n">
        <x:f>YEAR(B767)</x:f>
        <x:v>2026</x:v>
      </x:c>
      <x:c r="R767" t="str">
        <x:f>TEXT(B767,"yyyy-mm")</x:f>
        <x:v>2026-02</x:v>
      </x:c>
    </x:row>
    <x:row r="768">
      <x:c r="A768" t="n">
        <x:v>10473</x:v>
      </x:c>
      <x:c r="B768" s="10" t="n">
        <x:v>46075</x:v>
      </x:c>
      <x:c r="C768" t="str">
        <x:v>P008</x:v>
      </x:c>
      <x:c r="D768" t="str">
        <x:v>Webcam</x:v>
      </x:c>
      <x:c r="E768" t="str">
        <x:v>Electronics</x:v>
      </x:c>
      <x:c r="F768" t="str">
        <x:v>Midlands</x:v>
      </x:c>
      <x:c r="G768" t="str">
        <x:v>Retail</x:v>
      </x:c>
      <x:c r="H768" t="str">
        <x:v>Completed</x:v>
      </x:c>
      <x:c r="I768" t="n">
        <x:v>4</x:v>
      </x:c>
      <x:c r="J768" s="12" t="n">
        <x:v>89.65</x:v>
      </x:c>
      <x:c r="K768" s="12" t="n">
        <x:v>41.45</x:v>
      </x:c>
      <x:c r="L768" s="14" t="n">
        <x:v>0</x:v>
      </x:c>
      <x:c r="M768" s="12" t="n">
        <x:f>IF(H768="Completed",I768*J768*(1-L768),0)</x:f>
        <x:v>358.6</x:v>
      </x:c>
      <x:c r="N768" s="12" t="n">
        <x:f>IF(H768="Completed",I768*K768,0)</x:f>
        <x:v>165.8</x:v>
      </x:c>
      <x:c r="O768" s="12" t="n">
        <x:f>M768-N768</x:f>
        <x:v>192.8</x:v>
      </x:c>
      <x:c r="P768" s="16" t="n">
        <x:f>IFERROR(O768/M768,0)</x:f>
        <x:v>0.5376464026770775</x:v>
      </x:c>
      <x:c r="Q768" t="n">
        <x:f>YEAR(B768)</x:f>
        <x:v>2026</x:v>
      </x:c>
      <x:c r="R768" t="str">
        <x:f>TEXT(B768,"yyyy-mm")</x:f>
        <x:v>2026-02</x:v>
      </x:c>
    </x:row>
    <x:row r="769">
      <x:c r="A769" t="n">
        <x:v>10935</x:v>
      </x:c>
      <x:c r="B769" s="10" t="n">
        <x:v>46075</x:v>
      </x:c>
      <x:c r="C769" t="str">
        <x:v>P006</x:v>
      </x:c>
      <x:c r="D769" t="str">
        <x:v>Chair</x:v>
      </x:c>
      <x:c r="E769" t="str">
        <x:v>Furniture</x:v>
      </x:c>
      <x:c r="F769" t="str">
        <x:v>Wales</x:v>
      </x:c>
      <x:c r="G769" t="str">
        <x:v>Online</x:v>
      </x:c>
      <x:c r="H769" t="str">
        <x:v>Completed</x:v>
      </x:c>
      <x:c r="I769" t="n">
        <x:v>1</x:v>
      </x:c>
      <x:c r="J769" s="12" t="n">
        <x:v>133.02</x:v>
      </x:c>
      <x:c r="K769" s="12" t="n">
        <x:v>67.53</x:v>
      </x:c>
      <x:c r="L769" s="14" t="n">
        <x:v>0</x:v>
      </x:c>
      <x:c r="M769" s="12" t="n">
        <x:f>IF(H769="Completed",I769*J769*(1-L769),0)</x:f>
        <x:v>133.02</x:v>
      </x:c>
      <x:c r="N769" s="12" t="n">
        <x:f>IF(H769="Completed",I769*K769,0)</x:f>
        <x:v>67.53</x:v>
      </x:c>
      <x:c r="O769" s="12" t="n">
        <x:f>M769-N769</x:f>
        <x:v>65.49000000000001</x:v>
      </x:c>
      <x:c r="P769" s="16" t="n">
        <x:f>IFERROR(O769/M769,0)</x:f>
        <x:v>0.49233198015336044</x:v>
      </x:c>
      <x:c r="Q769" t="n">
        <x:f>YEAR(B769)</x:f>
        <x:v>2026</x:v>
      </x:c>
      <x:c r="R769" t="str">
        <x:f>TEXT(B769,"yyyy-mm")</x:f>
        <x:v>2026-02</x:v>
      </x:c>
    </x:row>
    <x:row r="770">
      <x:c r="A770" t="n">
        <x:v>10165</x:v>
      </x:c>
      <x:c r="B770" s="10" t="n">
        <x:v>46076</x:v>
      </x:c>
      <x:c r="C770" t="str">
        <x:v>P008</x:v>
      </x:c>
      <x:c r="D770" t="str">
        <x:v>Webcam</x:v>
      </x:c>
      <x:c r="E770" t="str">
        <x:v>Electronics</x:v>
      </x:c>
      <x:c r="F770" t="str">
        <x:v>North</x:v>
      </x:c>
      <x:c r="G770" t="str">
        <x:v>Online</x:v>
      </x:c>
      <x:c r="H770" t="str">
        <x:v>Completed</x:v>
      </x:c>
      <x:c r="I770" t="n">
        <x:v>2</x:v>
      </x:c>
      <x:c r="J770" s="12" t="n">
        <x:v>91.59</x:v>
      </x:c>
      <x:c r="K770" s="12" t="n">
        <x:v>41.37</x:v>
      </x:c>
      <x:c r="L770" s="14" t="n">
        <x:v>0</x:v>
      </x:c>
      <x:c r="M770" s="12" t="n">
        <x:f>IF(H770="Completed",I770*J770*(1-L770),0)</x:f>
        <x:v>183.18</x:v>
      </x:c>
      <x:c r="N770" s="12" t="n">
        <x:f>IF(H770="Completed",I770*K770,0)</x:f>
        <x:v>82.74</x:v>
      </x:c>
      <x:c r="O770" s="12" t="n">
        <x:f>M770-N770</x:f>
        <x:v>100.44000000000001</x:v>
      </x:c>
      <x:c r="P770" s="16" t="n">
        <x:f>IFERROR(O770/M770,0)</x:f>
        <x:v>0.5483131346216836</x:v>
      </x:c>
      <x:c r="Q770" t="n">
        <x:f>YEAR(B770)</x:f>
        <x:v>2026</x:v>
      </x:c>
      <x:c r="R770" t="str">
        <x:f>TEXT(B770,"yyyy-mm")</x:f>
        <x:v>2026-02</x:v>
      </x:c>
    </x:row>
    <x:row r="771">
      <x:c r="A771" t="n">
        <x:v>10249</x:v>
      </x:c>
      <x:c r="B771" s="10" t="n">
        <x:v>46076</x:v>
      </x:c>
      <x:c r="C771" t="str">
        <x:v>P001</x:v>
      </x:c>
      <x:c r="D771" t="str">
        <x:v>Laptop</x:v>
      </x:c>
      <x:c r="E771" t="str">
        <x:v>Electronics</x:v>
      </x:c>
      <x:c r="F771" t="str">
        <x:v>North</x:v>
      </x:c>
      <x:c r="G771" t="str">
        <x:v>Online</x:v>
      </x:c>
      <x:c r="H771" t="str">
        <x:v>Completed</x:v>
      </x:c>
      <x:c r="I771" t="n">
        <x:v>2</x:v>
      </x:c>
      <x:c r="J771" s="12" t="n">
        <x:v>930.9</x:v>
      </x:c>
      <x:c r="K771" s="12" t="n">
        <x:v>629.4</x:v>
      </x:c>
      <x:c r="L771" s="14" t="n">
        <x:v>0.05</x:v>
      </x:c>
      <x:c r="M771" s="12" t="n">
        <x:f>IF(H771="Completed",I771*J771*(1-L771),0)</x:f>
        <x:v>1768.7099999999998</x:v>
      </x:c>
      <x:c r="N771" s="12" t="n">
        <x:f>IF(H771="Completed",I771*K771,0)</x:f>
        <x:v>1258.8</x:v>
      </x:c>
      <x:c r="O771" s="12" t="n">
        <x:f>M771-N771</x:f>
        <x:v>509.90999999999985</x:v>
      </x:c>
      <x:c r="P771" s="16" t="n">
        <x:f>IFERROR(O771/M771,0)</x:f>
        <x:v>0.28829485896500834</x:v>
      </x:c>
      <x:c r="Q771" t="n">
        <x:f>YEAR(B771)</x:f>
        <x:v>2026</x:v>
      </x:c>
      <x:c r="R771" t="str">
        <x:f>TEXT(B771,"yyyy-mm")</x:f>
        <x:v>2026-02</x:v>
      </x:c>
    </x:row>
    <x:row r="772">
      <x:c r="A772" t="n">
        <x:v>10504</x:v>
      </x:c>
      <x:c r="B772" s="10" t="n">
        <x:v>46076</x:v>
      </x:c>
      <x:c r="C772" t="str">
        <x:v>P004</x:v>
      </x:c>
      <x:c r="D772" t="str">
        <x:v>Mouse</x:v>
      </x:c>
      <x:c r="E772" t="str">
        <x:v>Accessories</x:v>
      </x:c>
      <x:c r="F772" t="str">
        <x:v>Midlands</x:v>
      </x:c>
      <x:c r="G772" t="str">
        <x:v>Partner</x:v>
      </x:c>
      <x:c r="H772" t="str">
        <x:v>Completed</x:v>
      </x:c>
      <x:c r="I772" t="n">
        <x:v>1</x:v>
      </x:c>
      <x:c r="J772" s="12" t="n">
        <x:v>26.55</x:v>
      </x:c>
      <x:c r="K772" s="12" t="n">
        <x:v>13.2</x:v>
      </x:c>
      <x:c r="L772" s="14" t="n">
        <x:v>0</x:v>
      </x:c>
      <x:c r="M772" s="12" t="n">
        <x:f>IF(H772="Completed",I772*J772*(1-L772),0)</x:f>
        <x:v>26.55</x:v>
      </x:c>
      <x:c r="N772" s="12" t="n">
        <x:f>IF(H772="Completed",I772*K772,0)</x:f>
        <x:v>13.2</x:v>
      </x:c>
      <x:c r="O772" s="12" t="n">
        <x:f>M772-N772</x:f>
        <x:v>13.350000000000001</x:v>
      </x:c>
      <x:c r="P772" s="16" t="n">
        <x:f>IFERROR(O772/M772,0)</x:f>
        <x:v>0.5028248587570622</x:v>
      </x:c>
      <x:c r="Q772" t="n">
        <x:f>YEAR(B772)</x:f>
        <x:v>2026</x:v>
      </x:c>
      <x:c r="R772" t="str">
        <x:f>TEXT(B772,"yyyy-mm")</x:f>
        <x:v>2026-02</x:v>
      </x:c>
    </x:row>
    <x:row r="773">
      <x:c r="A773" t="n">
        <x:v>10567</x:v>
      </x:c>
      <x:c r="B773" s="10" t="n">
        <x:v>46076</x:v>
      </x:c>
      <x:c r="C773" t="str">
        <x:v>P003</x:v>
      </x:c>
      <x:c r="D773" t="str">
        <x:v>Keyboard</x:v>
      </x:c>
      <x:c r="E773" t="str">
        <x:v>Accessories</x:v>
      </x:c>
      <x:c r="F773" t="str">
        <x:v>Midlands</x:v>
      </x:c>
      <x:c r="G773" t="str">
        <x:v>Retail</x:v>
      </x:c>
      <x:c r="H773" t="str">
        <x:v>Completed</x:v>
      </x:c>
      <x:c r="I773" t="n">
        <x:v>3</x:v>
      </x:c>
      <x:c r="J773" s="12" t="n">
        <x:v>49.32</x:v>
      </x:c>
      <x:c r="K773" s="12" t="n">
        <x:v>25.57</x:v>
      </x:c>
      <x:c r="L773" s="14" t="n">
        <x:v>0</x:v>
      </x:c>
      <x:c r="M773" s="12" t="n">
        <x:f>IF(H773="Completed",I773*J773*(1-L773),0)</x:f>
        <x:v>147.96</x:v>
      </x:c>
      <x:c r="N773" s="12" t="n">
        <x:f>IF(H773="Completed",I773*K773,0)</x:f>
        <x:v>76.71000000000001</x:v>
      </x:c>
      <x:c r="O773" s="12" t="n">
        <x:f>M773-N773</x:f>
        <x:v>71.25</x:v>
      </x:c>
      <x:c r="P773" s="16" t="n">
        <x:f>IFERROR(O773/M773,0)</x:f>
        <x:v>0.48154906731549063</x:v>
      </x:c>
      <x:c r="Q773" t="n">
        <x:f>YEAR(B773)</x:f>
        <x:v>2026</x:v>
      </x:c>
      <x:c r="R773" t="str">
        <x:f>TEXT(B773,"yyyy-mm")</x:f>
        <x:v>2026-02</x:v>
      </x:c>
    </x:row>
    <x:row r="774">
      <x:c r="A774" t="n">
        <x:v>10574</x:v>
      </x:c>
      <x:c r="B774" s="10" t="n">
        <x:v>46076</x:v>
      </x:c>
      <x:c r="C774" t="str">
        <x:v>P006</x:v>
      </x:c>
      <x:c r="D774" t="str">
        <x:v>Chair</x:v>
      </x:c>
      <x:c r="E774" t="str">
        <x:v>Furniture</x:v>
      </x:c>
      <x:c r="F774" t="str">
        <x:v>South</x:v>
      </x:c>
      <x:c r="G774" t="str">
        <x:v>Online</x:v>
      </x:c>
      <x:c r="H774" t="str">
        <x:v>Completed</x:v>
      </x:c>
      <x:c r="I774" t="n">
        <x:v>4</x:v>
      </x:c>
      <x:c r="J774" s="12" t="n">
        <x:v>138.44</x:v>
      </x:c>
      <x:c r="K774" s="12" t="n">
        <x:v>68.51</x:v>
      </x:c>
      <x:c r="L774" s="14" t="n">
        <x:v>0</x:v>
      </x:c>
      <x:c r="M774" s="12" t="n">
        <x:f>IF(H774="Completed",I774*J774*(1-L774),0)</x:f>
        <x:v>553.76</x:v>
      </x:c>
      <x:c r="N774" s="12" t="n">
        <x:f>IF(H774="Completed",I774*K774,0)</x:f>
        <x:v>274.04</x:v>
      </x:c>
      <x:c r="O774" s="12" t="n">
        <x:f>M774-N774</x:f>
        <x:v>279.71999999999997</x:v>
      </x:c>
      <x:c r="P774" s="16" t="n">
        <x:f>IFERROR(O774/M774,0)</x:f>
        <x:v>0.5051285755561976</x:v>
      </x:c>
      <x:c r="Q774" t="n">
        <x:f>YEAR(B774)</x:f>
        <x:v>2026</x:v>
      </x:c>
      <x:c r="R774" t="str">
        <x:f>TEXT(B774,"yyyy-mm")</x:f>
        <x:v>2026-02</x:v>
      </x:c>
    </x:row>
    <x:row r="775">
      <x:c r="A775" t="n">
        <x:v>10054</x:v>
      </x:c>
      <x:c r="B775" s="10" t="n">
        <x:v>46078</x:v>
      </x:c>
      <x:c r="C775" t="str">
        <x:v>P002</x:v>
      </x:c>
      <x:c r="D775" t="str">
        <x:v>Monitor</x:v>
      </x:c>
      <x:c r="E775" t="str">
        <x:v>Electronics</x:v>
      </x:c>
      <x:c r="F775" t="str">
        <x:v>Midlands</x:v>
      </x:c>
      <x:c r="G775" t="str">
        <x:v>Retail</x:v>
      </x:c>
      <x:c r="H775" t="str">
        <x:v>Completed</x:v>
      </x:c>
      <x:c r="I775" t="n">
        <x:v>4</x:v>
      </x:c>
      <x:c r="J775" s="12" t="n">
        <x:v>290.34</x:v>
      </x:c>
      <x:c r="K775" s="12" t="n">
        <x:v>170.8</x:v>
      </x:c>
      <x:c r="L775" s="14" t="n">
        <x:v>0.15</x:v>
      </x:c>
      <x:c r="M775" s="12" t="n">
        <x:f>IF(H775="Completed",I775*J775*(1-L775),0)</x:f>
        <x:v>987.1559999999998</x:v>
      </x:c>
      <x:c r="N775" s="12" t="n">
        <x:f>IF(H775="Completed",I775*K775,0)</x:f>
        <x:v>683.2</x:v>
      </x:c>
      <x:c r="O775" s="12" t="n">
        <x:f>M775-N775</x:f>
        <x:v>303.9559999999998</x:v>
      </x:c>
      <x:c r="P775" s="16" t="n">
        <x:f>IFERROR(O775/M775,0)</x:f>
        <x:v>0.3079108063973676</x:v>
      </x:c>
      <x:c r="Q775" t="n">
        <x:f>YEAR(B775)</x:f>
        <x:v>2026</x:v>
      </x:c>
      <x:c r="R775" t="str">
        <x:f>TEXT(B775,"yyyy-mm")</x:f>
        <x:v>2026-02</x:v>
      </x:c>
    </x:row>
    <x:row r="776">
      <x:c r="A776" t="n">
        <x:v>10812</x:v>
      </x:c>
      <x:c r="B776" s="10" t="n">
        <x:v>46078</x:v>
      </x:c>
      <x:c r="C776" t="str">
        <x:v>P003</x:v>
      </x:c>
      <x:c r="D776" t="str">
        <x:v>Keyboard</x:v>
      </x:c>
      <x:c r="E776" t="str">
        <x:v>Accessories</x:v>
      </x:c>
      <x:c r="F776" t="str">
        <x:v>Scotland</x:v>
      </x:c>
      <x:c r="G776" t="str">
        <x:v>Online</x:v>
      </x:c>
      <x:c r="H776" t="str">
        <x:v>Completed</x:v>
      </x:c>
      <x:c r="I776" t="n">
        <x:v>4</x:v>
      </x:c>
      <x:c r="J776" s="12" t="n">
        <x:v>47.99</x:v>
      </x:c>
      <x:c r="K776" s="12" t="n">
        <x:v>25.71</x:v>
      </x:c>
      <x:c r="L776" s="14" t="n">
        <x:v>0.15</x:v>
      </x:c>
      <x:c r="M776" s="12" t="n">
        <x:f>IF(H776="Completed",I776*J776*(1-L776),0)</x:f>
        <x:v>163.166</x:v>
      </x:c>
      <x:c r="N776" s="12" t="n">
        <x:f>IF(H776="Completed",I776*K776,0)</x:f>
        <x:v>102.84</x:v>
      </x:c>
      <x:c r="O776" s="12" t="n">
        <x:f>M776-N776</x:f>
        <x:v>60.32599999999999</x:v>
      </x:c>
      <x:c r="P776" s="16" t="n">
        <x:f>IFERROR(O776/M776,0)</x:f>
        <x:v>0.36972163318338375</x:v>
      </x:c>
      <x:c r="Q776" t="n">
        <x:f>YEAR(B776)</x:f>
        <x:v>2026</x:v>
      </x:c>
      <x:c r="R776" t="str">
        <x:f>TEXT(B776,"yyyy-mm")</x:f>
        <x:v>2026-02</x:v>
      </x:c>
    </x:row>
    <x:row r="777">
      <x:c r="A777" t="n">
        <x:v>10229</x:v>
      </x:c>
      <x:c r="B777" s="10" t="n">
        <x:v>46079</x:v>
      </x:c>
      <x:c r="C777" t="str">
        <x:v>P002</x:v>
      </x:c>
      <x:c r="D777" t="str">
        <x:v>Monitor</x:v>
      </x:c>
      <x:c r="E777" t="str">
        <x:v>Electronics</x:v>
      </x:c>
      <x:c r="F777" t="str">
        <x:v>South</x:v>
      </x:c>
      <x:c r="G777" t="str">
        <x:v>Retail</x:v>
      </x:c>
      <x:c r="H777" t="str">
        <x:v>Completed</x:v>
      </x:c>
      <x:c r="I777" t="n">
        <x:v>2</x:v>
      </x:c>
      <x:c r="J777" s="12" t="n">
        <x:v>284.79</x:v>
      </x:c>
      <x:c r="K777" s="12" t="n">
        <x:v>173.72</x:v>
      </x:c>
      <x:c r="L777" s="14" t="n">
        <x:v>0</x:v>
      </x:c>
      <x:c r="M777" s="12" t="n">
        <x:f>IF(H777="Completed",I777*J777*(1-L777),0)</x:f>
        <x:v>569.58</x:v>
      </x:c>
      <x:c r="N777" s="12" t="n">
        <x:f>IF(H777="Completed",I777*K777,0)</x:f>
        <x:v>347.44</x:v>
      </x:c>
      <x:c r="O777" s="12" t="n">
        <x:f>M777-N777</x:f>
        <x:v>222.14000000000004</x:v>
      </x:c>
      <x:c r="P777" s="16" t="n">
        <x:f>IFERROR(O777/M777,0)</x:f>
        <x:v>0.3900066715825697</x:v>
      </x:c>
      <x:c r="Q777" t="n">
        <x:f>YEAR(B777)</x:f>
        <x:v>2026</x:v>
      </x:c>
      <x:c r="R777" t="str">
        <x:f>TEXT(B777,"yyyy-mm")</x:f>
        <x:v>2026-02</x:v>
      </x:c>
    </x:row>
    <x:row r="778">
      <x:c r="A778" t="n">
        <x:v>10291</x:v>
      </x:c>
      <x:c r="B778" s="10" t="n">
        <x:v>46079</x:v>
      </x:c>
      <x:c r="C778" t="str">
        <x:v>P004</x:v>
      </x:c>
      <x:c r="D778" t="str">
        <x:v>Mouse</x:v>
      </x:c>
      <x:c r="E778" t="str">
        <x:v>Accessories</x:v>
      </x:c>
      <x:c r="F778" t="str">
        <x:v>North</x:v>
      </x:c>
      <x:c r="G778" t="str">
        <x:v>Retail</x:v>
      </x:c>
      <x:c r="H778" t="str">
        <x:v>Cancelled</x:v>
      </x:c>
      <x:c r="I778" t="n">
        <x:v>3</x:v>
      </x:c>
      <x:c r="J778" s="12" t="n">
        <x:v>27.47</x:v>
      </x:c>
      <x:c r="K778" s="12" t="n">
        <x:v>13</x:v>
      </x:c>
      <x:c r="L778" s="14" t="n">
        <x:v>0.15</x:v>
      </x:c>
      <x:c r="M778" s="12" t="n">
        <x:f>IF(H778="Completed",I778*J778*(1-L778),0)</x:f>
        <x:v>0</x:v>
      </x:c>
      <x:c r="N778" s="12" t="n">
        <x:f>IF(H778="Completed",I778*K778,0)</x:f>
        <x:v>0</x:v>
      </x:c>
      <x:c r="O778" s="12" t="n">
        <x:f>M778-N778</x:f>
        <x:v>0</x:v>
      </x:c>
      <x:c r="P778" s="16" t="n">
        <x:f>IFERROR(O778/M778,0)</x:f>
        <x:v>0</x:v>
      </x:c>
      <x:c r="Q778" t="n">
        <x:f>YEAR(B778)</x:f>
        <x:v>2026</x:v>
      </x:c>
      <x:c r="R778" t="str">
        <x:f>TEXT(B778,"yyyy-mm")</x:f>
        <x:v>2026-02</x:v>
      </x:c>
    </x:row>
    <x:row r="779">
      <x:c r="A779" t="n">
        <x:v>10843</x:v>
      </x:c>
      <x:c r="B779" s="10" t="n">
        <x:v>46079</x:v>
      </x:c>
      <x:c r="C779" t="str">
        <x:v>P001</x:v>
      </x:c>
      <x:c r="D779" t="str">
        <x:v>Laptop</x:v>
      </x:c>
      <x:c r="E779" t="str">
        <x:v>Electronics</x:v>
      </x:c>
      <x:c r="F779" t="str">
        <x:v>Scotland</x:v>
      </x:c>
      <x:c r="G779" t="str">
        <x:v>Online</x:v>
      </x:c>
      <x:c r="H779" t="str">
        <x:v>Completed</x:v>
      </x:c>
      <x:c r="I779" t="n">
        <x:v>1</x:v>
      </x:c>
      <x:c r="J779" s="12" t="n">
        <x:v>895.31</x:v>
      </x:c>
      <x:c r="K779" s="12" t="n">
        <x:v>620.5</x:v>
      </x:c>
      <x:c r="L779" s="14" t="n">
        <x:v>0.05</x:v>
      </x:c>
      <x:c r="M779" s="12" t="n">
        <x:f>IF(H779="Completed",I779*J779*(1-L779),0)</x:f>
        <x:v>850.5444999999999</x:v>
      </x:c>
      <x:c r="N779" s="12" t="n">
        <x:f>IF(H779="Completed",I779*K779,0)</x:f>
        <x:v>620.5</x:v>
      </x:c>
      <x:c r="O779" s="12" t="n">
        <x:f>M779-N779</x:f>
        <x:v>230.04449999999986</x:v>
      </x:c>
      <x:c r="P779" s="16" t="n">
        <x:f>IFERROR(O779/M779,0)</x:f>
        <x:v>0.27046733004563533</x:v>
      </x:c>
      <x:c r="Q779" t="n">
        <x:f>YEAR(B779)</x:f>
        <x:v>2026</x:v>
      </x:c>
      <x:c r="R779" t="str">
        <x:f>TEXT(B779,"yyyy-mm")</x:f>
        <x:v>2026-02</x:v>
      </x:c>
    </x:row>
    <x:row r="780">
      <x:c r="A780" t="n">
        <x:v>10603</x:v>
      </x:c>
      <x:c r="B780" s="10" t="n">
        <x:v>46080</x:v>
      </x:c>
      <x:c r="C780" t="str">
        <x:v>P003</x:v>
      </x:c>
      <x:c r="D780" t="str">
        <x:v>Keyboard</x:v>
      </x:c>
      <x:c r="E780" t="str">
        <x:v>Accessories</x:v>
      </x:c>
      <x:c r="F780" t="str">
        <x:v>Midlands</x:v>
      </x:c>
      <x:c r="G780" t="str">
        <x:v>Retail</x:v>
      </x:c>
      <x:c r="H780" t="str">
        <x:v>Completed</x:v>
      </x:c>
      <x:c r="I780" t="n">
        <x:v>2</x:v>
      </x:c>
      <x:c r="J780" s="12" t="n">
        <x:v>48.62</x:v>
      </x:c>
      <x:c r="K780" s="12" t="n">
        <x:v>26.62</x:v>
      </x:c>
      <x:c r="L780" s="14" t="n">
        <x:v>0</x:v>
      </x:c>
      <x:c r="M780" s="12" t="n">
        <x:f>IF(H780="Completed",I780*J780*(1-L780),0)</x:f>
        <x:v>97.24</x:v>
      </x:c>
      <x:c r="N780" s="12" t="n">
        <x:f>IF(H780="Completed",I780*K780,0)</x:f>
        <x:v>53.24</x:v>
      </x:c>
      <x:c r="O780" s="12" t="n">
        <x:f>M780-N780</x:f>
        <x:v>43.99999999999999</x:v>
      </x:c>
      <x:c r="P780" s="16" t="n">
        <x:f>IFERROR(O780/M780,0)</x:f>
        <x:v>0.4524886877828054</x:v>
      </x:c>
      <x:c r="Q780" t="n">
        <x:f>YEAR(B780)</x:f>
        <x:v>2026</x:v>
      </x:c>
      <x:c r="R780" t="str">
        <x:f>TEXT(B780,"yyyy-mm")</x:f>
        <x:v>2026-02</x:v>
      </x:c>
    </x:row>
    <x:row r="781">
      <x:c r="A781" t="n">
        <x:v>10166</x:v>
      </x:c>
      <x:c r="B781" s="10" t="n">
        <x:v>46081</x:v>
      </x:c>
      <x:c r="C781" t="str">
        <x:v>P001</x:v>
      </x:c>
      <x:c r="D781" t="str">
        <x:v>Laptop</x:v>
      </x:c>
      <x:c r="E781" t="str">
        <x:v>Electronics</x:v>
      </x:c>
      <x:c r="F781" t="str">
        <x:v>Scotland</x:v>
      </x:c>
      <x:c r="G781" t="str">
        <x:v>Retail</x:v>
      </x:c>
      <x:c r="H781" t="str">
        <x:v>Cancelled</x:v>
      </x:c>
      <x:c r="I781" t="n">
        <x:v>3</x:v>
      </x:c>
      <x:c r="J781" s="12" t="n">
        <x:v>902.33</x:v>
      </x:c>
      <x:c r="K781" s="12" t="n">
        <x:v>613.21</x:v>
      </x:c>
      <x:c r="L781" s="14" t="n">
        <x:v>0.05</x:v>
      </x:c>
      <x:c r="M781" s="12" t="n">
        <x:f>IF(H781="Completed",I781*J781*(1-L781),0)</x:f>
        <x:v>0</x:v>
      </x:c>
      <x:c r="N781" s="12" t="n">
        <x:f>IF(H781="Completed",I781*K781,0)</x:f>
        <x:v>0</x:v>
      </x:c>
      <x:c r="O781" s="12" t="n">
        <x:f>M781-N781</x:f>
        <x:v>0</x:v>
      </x:c>
      <x:c r="P781" s="16" t="n">
        <x:f>IFERROR(O781/M781,0)</x:f>
        <x:v>0</x:v>
      </x:c>
      <x:c r="Q781" t="n">
        <x:f>YEAR(B781)</x:f>
        <x:v>2026</x:v>
      </x:c>
      <x:c r="R781" t="str">
        <x:f>TEXT(B781,"yyyy-mm")</x:f>
        <x:v>2026-02</x:v>
      </x:c>
    </x:row>
    <x:row r="782">
      <x:c r="A782" t="n">
        <x:v>10655</x:v>
      </x:c>
      <x:c r="B782" s="10" t="n">
        <x:v>46081</x:v>
      </x:c>
      <x:c r="C782" t="str">
        <x:v>P007</x:v>
      </x:c>
      <x:c r="D782" t="str">
        <x:v>Headset</x:v>
      </x:c>
      <x:c r="E782" t="str">
        <x:v>Accessories</x:v>
      </x:c>
      <x:c r="F782" t="str">
        <x:v>South</x:v>
      </x:c>
      <x:c r="G782" t="str">
        <x:v>Retail</x:v>
      </x:c>
      <x:c r="H782" t="str">
        <x:v>Completed</x:v>
      </x:c>
      <x:c r="I782" t="n">
        <x:v>3</x:v>
      </x:c>
      <x:c r="J782" s="12" t="n">
        <x:v>73.96</x:v>
      </x:c>
      <x:c r="K782" s="12" t="n">
        <x:v>35.85</x:v>
      </x:c>
      <x:c r="L782" s="14" t="n">
        <x:v>0</x:v>
      </x:c>
      <x:c r="M782" s="12" t="n">
        <x:f>IF(H782="Completed",I782*J782*(1-L782),0)</x:f>
        <x:v>221.88</x:v>
      </x:c>
      <x:c r="N782" s="12" t="n">
        <x:f>IF(H782="Completed",I782*K782,0)</x:f>
        <x:v>107.55000000000001</x:v>
      </x:c>
      <x:c r="O782" s="12" t="n">
        <x:f>M782-N782</x:f>
        <x:v>114.32999999999998</x:v>
      </x:c>
      <x:c r="P782" s="16" t="n">
        <x:f>IFERROR(O782/M782,0)</x:f>
        <x:v>0.5152785289345592</x:v>
      </x:c>
      <x:c r="Q782" t="n">
        <x:f>YEAR(B782)</x:f>
        <x:v>2026</x:v>
      </x:c>
      <x:c r="R782" t="str">
        <x:f>TEXT(B782,"yyyy-mm")</x:f>
        <x:v>2026-02</x:v>
      </x:c>
    </x:row>
    <x:row r="783">
      <x:c r="A783" t="n">
        <x:v>10579</x:v>
      </x:c>
      <x:c r="B783" s="10" t="n">
        <x:v>46082</x:v>
      </x:c>
      <x:c r="C783" t="str">
        <x:v>P005</x:v>
      </x:c>
      <x:c r="D783" t="str">
        <x:v>Desk</x:v>
      </x:c>
      <x:c r="E783" t="str">
        <x:v>Furniture</x:v>
      </x:c>
      <x:c r="F783" t="str">
        <x:v>North</x:v>
      </x:c>
      <x:c r="G783" t="str">
        <x:v>Online</x:v>
      </x:c>
      <x:c r="H783" t="str">
        <x:v>Completed</x:v>
      </x:c>
      <x:c r="I783" t="n">
        <x:v>2</x:v>
      </x:c>
      <x:c r="J783" s="12" t="n">
        <x:v>271.85</x:v>
      </x:c>
      <x:c r="K783" s="12" t="n">
        <x:v>158.79</x:v>
      </x:c>
      <x:c r="L783" s="14" t="n">
        <x:v>0</x:v>
      </x:c>
      <x:c r="M783" s="12" t="n">
        <x:f>IF(H783="Completed",I783*J783*(1-L783),0)</x:f>
        <x:v>543.7</x:v>
      </x:c>
      <x:c r="N783" s="12" t="n">
        <x:f>IF(H783="Completed",I783*K783,0)</x:f>
        <x:v>317.58</x:v>
      </x:c>
      <x:c r="O783" s="12" t="n">
        <x:f>M783-N783</x:f>
        <x:v>226.12000000000006</x:v>
      </x:c>
      <x:c r="P783" s="16" t="n">
        <x:f>IFERROR(O783/M783,0)</x:f>
        <x:v>0.4158911164244989</x:v>
      </x:c>
      <x:c r="Q783" t="n">
        <x:f>YEAR(B783)</x:f>
        <x:v>2026</x:v>
      </x:c>
      <x:c r="R783" t="str">
        <x:f>TEXT(B783,"yyyy-mm")</x:f>
        <x:v>2026-03</x:v>
      </x:c>
    </x:row>
    <x:row r="784">
      <x:c r="A784" t="n">
        <x:v>10339</x:v>
      </x:c>
      <x:c r="B784" s="10" t="n">
        <x:v>46083</x:v>
      </x:c>
      <x:c r="C784" t="str">
        <x:v>P002</x:v>
      </x:c>
      <x:c r="D784" t="str">
        <x:v>Monitor</x:v>
      </x:c>
      <x:c r="E784" t="str">
        <x:v>Electronics</x:v>
      </x:c>
      <x:c r="F784" t="str">
        <x:v>North</x:v>
      </x:c>
      <x:c r="G784" t="str">
        <x:v>Online</x:v>
      </x:c>
      <x:c r="H784" t="str">
        <x:v>Completed</x:v>
      </x:c>
      <x:c r="I784" t="n">
        <x:v>1</x:v>
      </x:c>
      <x:c r="J784" s="12" t="n">
        <x:v>281.33</x:v>
      </x:c>
      <x:c r="K784" s="12" t="n">
        <x:v>170.61</x:v>
      </x:c>
      <x:c r="L784" s="14" t="n">
        <x:v>0</x:v>
      </x:c>
      <x:c r="M784" s="12" t="n">
        <x:f>IF(H784="Completed",I784*J784*(1-L784),0)</x:f>
        <x:v>281.33</x:v>
      </x:c>
      <x:c r="N784" s="12" t="n">
        <x:f>IF(H784="Completed",I784*K784,0)</x:f>
        <x:v>170.61</x:v>
      </x:c>
      <x:c r="O784" s="12" t="n">
        <x:f>M784-N784</x:f>
        <x:v>110.71999999999997</x:v>
      </x:c>
      <x:c r="P784" s="16" t="n">
        <x:f>IFERROR(O784/M784,0)</x:f>
        <x:v>0.3935591653929548</x:v>
      </x:c>
      <x:c r="Q784" t="n">
        <x:f>YEAR(B784)</x:f>
        <x:v>2026</x:v>
      </x:c>
      <x:c r="R784" t="str">
        <x:f>TEXT(B784,"yyyy-mm")</x:f>
        <x:v>2026-03</x:v>
      </x:c>
    </x:row>
    <x:row r="785">
      <x:c r="A785" t="n">
        <x:v>10129</x:v>
      </x:c>
      <x:c r="B785" s="10" t="n">
        <x:v>46084</x:v>
      </x:c>
      <x:c r="C785" t="str">
        <x:v>P003</x:v>
      </x:c>
      <x:c r="D785" t="str">
        <x:v>Keyboard</x:v>
      </x:c>
      <x:c r="E785" t="str">
        <x:v>Accessories</x:v>
      </x:c>
      <x:c r="F785" t="str">
        <x:v>Midlands</x:v>
      </x:c>
      <x:c r="G785" t="str">
        <x:v>Partner</x:v>
      </x:c>
      <x:c r="H785" t="str">
        <x:v>Completed</x:v>
      </x:c>
      <x:c r="I785" t="n">
        <x:v>1</x:v>
      </x:c>
      <x:c r="J785" s="12" t="n">
        <x:v>48.39</x:v>
      </x:c>
      <x:c r="K785" s="12" t="n">
        <x:v>25.71</x:v>
      </x:c>
      <x:c r="L785" s="14" t="n">
        <x:v>0.1</x:v>
      </x:c>
      <x:c r="M785" s="12" t="n">
        <x:f>IF(H785="Completed",I785*J785*(1-L785),0)</x:f>
        <x:v>43.551</x:v>
      </x:c>
      <x:c r="N785" s="12" t="n">
        <x:f>IF(H785="Completed",I785*K785,0)</x:f>
        <x:v>25.71</x:v>
      </x:c>
      <x:c r="O785" s="12" t="n">
        <x:f>M785-N785</x:f>
        <x:v>17.841</x:v>
      </x:c>
      <x:c r="P785" s="16" t="n">
        <x:f>IFERROR(O785/M785,0)</x:f>
        <x:v>0.4096576427636564</x:v>
      </x:c>
      <x:c r="Q785" t="n">
        <x:f>YEAR(B785)</x:f>
        <x:v>2026</x:v>
      </x:c>
      <x:c r="R785" t="str">
        <x:f>TEXT(B785,"yyyy-mm")</x:f>
        <x:v>2026-03</x:v>
      </x:c>
    </x:row>
    <x:row r="786">
      <x:c r="A786" t="n">
        <x:v>10502</x:v>
      </x:c>
      <x:c r="B786" s="10" t="n">
        <x:v>46085</x:v>
      </x:c>
      <x:c r="C786" t="str">
        <x:v>P007</x:v>
      </x:c>
      <x:c r="D786" t="str">
        <x:v>Headset</x:v>
      </x:c>
      <x:c r="E786" t="str">
        <x:v>Accessories</x:v>
      </x:c>
      <x:c r="F786" t="str">
        <x:v>Midlands</x:v>
      </x:c>
      <x:c r="G786" t="str">
        <x:v>Online</x:v>
      </x:c>
      <x:c r="H786" t="str">
        <x:v>Cancelled</x:v>
      </x:c>
      <x:c r="I786" t="n">
        <x:v>4</x:v>
      </x:c>
      <x:c r="J786" s="12" t="n">
        <x:v>71</x:v>
      </x:c>
      <x:c r="K786" s="12" t="n">
        <x:v>35.7</x:v>
      </x:c>
      <x:c r="L786" s="14" t="n">
        <x:v>0.05</x:v>
      </x:c>
      <x:c r="M786" s="12" t="n">
        <x:f>IF(H786="Completed",I786*J786*(1-L786),0)</x:f>
        <x:v>0</x:v>
      </x:c>
      <x:c r="N786" s="12" t="n">
        <x:f>IF(H786="Completed",I786*K786,0)</x:f>
        <x:v>0</x:v>
      </x:c>
      <x:c r="O786" s="12" t="n">
        <x:f>M786-N786</x:f>
        <x:v>0</x:v>
      </x:c>
      <x:c r="P786" s="16" t="n">
        <x:f>IFERROR(O786/M786,0)</x:f>
        <x:v>0</x:v>
      </x:c>
      <x:c r="Q786" t="n">
        <x:f>YEAR(B786)</x:f>
        <x:v>2026</x:v>
      </x:c>
      <x:c r="R786" t="str">
        <x:f>TEXT(B786,"yyyy-mm")</x:f>
        <x:v>2026-03</x:v>
      </x:c>
    </x:row>
    <x:row r="787">
      <x:c r="A787" t="n">
        <x:v>10176</x:v>
      </x:c>
      <x:c r="B787" s="10" t="n">
        <x:v>46086</x:v>
      </x:c>
      <x:c r="C787" t="str">
        <x:v>P005</x:v>
      </x:c>
      <x:c r="D787" t="str">
        <x:v>Desk</x:v>
      </x:c>
      <x:c r="E787" t="str">
        <x:v>Furniture</x:v>
      </x:c>
      <x:c r="F787" t="str">
        <x:v>Midlands</x:v>
      </x:c>
      <x:c r="G787" t="str">
        <x:v>Online</x:v>
      </x:c>
      <x:c r="H787" t="str">
        <x:v>Completed</x:v>
      </x:c>
      <x:c r="I787" t="n">
        <x:v>2</x:v>
      </x:c>
      <x:c r="J787" s="12" t="n">
        <x:v>282.03</x:v>
      </x:c>
      <x:c r="K787" s="12" t="n">
        <x:v>155.44</x:v>
      </x:c>
      <x:c r="L787" s="14" t="n">
        <x:v>0.15</x:v>
      </x:c>
      <x:c r="M787" s="12" t="n">
        <x:f>IF(H787="Completed",I787*J787*(1-L787),0)</x:f>
        <x:v>479.45099999999996</x:v>
      </x:c>
      <x:c r="N787" s="12" t="n">
        <x:f>IF(H787="Completed",I787*K787,0)</x:f>
        <x:v>310.88</x:v>
      </x:c>
      <x:c r="O787" s="12" t="n">
        <x:f>M787-N787</x:f>
        <x:v>168.57099999999997</x:v>
      </x:c>
      <x:c r="P787" s="16" t="n">
        <x:f>IFERROR(O787/M787,0)</x:f>
        <x:v>0.3515917163589188</x:v>
      </x:c>
      <x:c r="Q787" t="n">
        <x:f>YEAR(B787)</x:f>
        <x:v>2026</x:v>
      </x:c>
      <x:c r="R787" t="str">
        <x:f>TEXT(B787,"yyyy-mm")</x:f>
        <x:v>2026-03</x:v>
      </x:c>
    </x:row>
    <x:row r="788">
      <x:c r="A788" t="n">
        <x:v>10259</x:v>
      </x:c>
      <x:c r="B788" s="10" t="n">
        <x:v>46086</x:v>
      </x:c>
      <x:c r="C788" t="str">
        <x:v>P005</x:v>
      </x:c>
      <x:c r="D788" t="str">
        <x:v>Desk</x:v>
      </x:c>
      <x:c r="E788" t="str">
        <x:v>Furniture</x:v>
      </x:c>
      <x:c r="F788" t="str">
        <x:v>South</x:v>
      </x:c>
      <x:c r="G788" t="str">
        <x:v>Retail</x:v>
      </x:c>
      <x:c r="H788" t="str">
        <x:v>Completed</x:v>
      </x:c>
      <x:c r="I788" t="n">
        <x:v>4</x:v>
      </x:c>
      <x:c r="J788" s="12" t="n">
        <x:v>273.67</x:v>
      </x:c>
      <x:c r="K788" s="12" t="n">
        <x:v>158.74</x:v>
      </x:c>
      <x:c r="L788" s="14" t="n">
        <x:v>0</x:v>
      </x:c>
      <x:c r="M788" s="12" t="n">
        <x:f>IF(H788="Completed",I788*J788*(1-L788),0)</x:f>
        <x:v>1094.68</x:v>
      </x:c>
      <x:c r="N788" s="12" t="n">
        <x:f>IF(H788="Completed",I788*K788,0)</x:f>
        <x:v>634.96</x:v>
      </x:c>
      <x:c r="O788" s="12" t="n">
        <x:f>M788-N788</x:f>
        <x:v>459.72</x:v>
      </x:c>
      <x:c r="P788" s="16" t="n">
        <x:f>IFERROR(O788/M788,0)</x:f>
        <x:v>0.419958343990938</x:v>
      </x:c>
      <x:c r="Q788" t="n">
        <x:f>YEAR(B788)</x:f>
        <x:v>2026</x:v>
      </x:c>
      <x:c r="R788" t="str">
        <x:f>TEXT(B788,"yyyy-mm")</x:f>
        <x:v>2026-03</x:v>
      </x:c>
    </x:row>
    <x:row r="789">
      <x:c r="A789" t="n">
        <x:v>10459</x:v>
      </x:c>
      <x:c r="B789" s="10" t="n">
        <x:v>46086</x:v>
      </x:c>
      <x:c r="C789" t="str">
        <x:v>P004</x:v>
      </x:c>
      <x:c r="D789" t="str">
        <x:v>Mouse</x:v>
      </x:c>
      <x:c r="E789" t="str">
        <x:v>Accessories</x:v>
      </x:c>
      <x:c r="F789" t="str">
        <x:v>Midlands</x:v>
      </x:c>
      <x:c r="G789" t="str">
        <x:v>Partner</x:v>
      </x:c>
      <x:c r="H789" t="str">
        <x:v>Completed</x:v>
      </x:c>
      <x:c r="I789" t="n">
        <x:v>3</x:v>
      </x:c>
      <x:c r="J789" s="12" t="n">
        <x:v>28.01</x:v>
      </x:c>
      <x:c r="K789" s="12" t="n">
        <x:v>13.22</x:v>
      </x:c>
      <x:c r="L789" s="14" t="n">
        <x:v>0</x:v>
      </x:c>
      <x:c r="M789" s="12" t="n">
        <x:f>IF(H789="Completed",I789*J789*(1-L789),0)</x:f>
        <x:v>84.03</x:v>
      </x:c>
      <x:c r="N789" s="12" t="n">
        <x:f>IF(H789="Completed",I789*K789,0)</x:f>
        <x:v>39.660000000000004</x:v>
      </x:c>
      <x:c r="O789" s="12" t="n">
        <x:f>M789-N789</x:f>
        <x:v>44.37</x:v>
      </x:c>
      <x:c r="P789" s="16" t="n">
        <x:f>IFERROR(O789/M789,0)</x:f>
        <x:v>0.5280257051053195</x:v>
      </x:c>
      <x:c r="Q789" t="n">
        <x:f>YEAR(B789)</x:f>
        <x:v>2026</x:v>
      </x:c>
      <x:c r="R789" t="str">
        <x:f>TEXT(B789,"yyyy-mm")</x:f>
        <x:v>2026-03</x:v>
      </x:c>
    </x:row>
    <x:row r="790">
      <x:c r="A790" t="n">
        <x:v>10519</x:v>
      </x:c>
      <x:c r="B790" s="10" t="n">
        <x:v>46086</x:v>
      </x:c>
      <x:c r="C790" t="str">
        <x:v>P008</x:v>
      </x:c>
      <x:c r="D790" t="str">
        <x:v>Webcam</x:v>
      </x:c>
      <x:c r="E790" t="str">
        <x:v>Electronics</x:v>
      </x:c>
      <x:c r="F790" t="str">
        <x:v>Wales</x:v>
      </x:c>
      <x:c r="G790" t="str">
        <x:v>Partner</x:v>
      </x:c>
      <x:c r="H790" t="str">
        <x:v>Completed</x:v>
      </x:c>
      <x:c r="I790" t="n">
        <x:v>4</x:v>
      </x:c>
      <x:c r="J790" s="12" t="n">
        <x:v>87.94</x:v>
      </x:c>
      <x:c r="K790" s="12" t="n">
        <x:v>41.96</x:v>
      </x:c>
      <x:c r="L790" s="14" t="n">
        <x:v>0</x:v>
      </x:c>
      <x:c r="M790" s="12" t="n">
        <x:f>IF(H790="Completed",I790*J790*(1-L790),0)</x:f>
        <x:v>351.76</x:v>
      </x:c>
      <x:c r="N790" s="12" t="n">
        <x:f>IF(H790="Completed",I790*K790,0)</x:f>
        <x:v>167.84</x:v>
      </x:c>
      <x:c r="O790" s="12" t="n">
        <x:f>M790-N790</x:f>
        <x:v>183.92</x:v>
      </x:c>
      <x:c r="P790" s="16" t="n">
        <x:f>IFERROR(O790/M790,0)</x:f>
        <x:v>0.5228564930634523</x:v>
      </x:c>
      <x:c r="Q790" t="n">
        <x:f>YEAR(B790)</x:f>
        <x:v>2026</x:v>
      </x:c>
      <x:c r="R790" t="str">
        <x:f>TEXT(B790,"yyyy-mm")</x:f>
        <x:v>2026-03</x:v>
      </x:c>
    </x:row>
    <x:row r="791">
      <x:c r="A791" t="n">
        <x:v>10685</x:v>
      </x:c>
      <x:c r="B791" s="10" t="n">
        <x:v>46087</x:v>
      </x:c>
      <x:c r="C791" t="str">
        <x:v>P001</x:v>
      </x:c>
      <x:c r="D791" t="str">
        <x:v>Laptop</x:v>
      </x:c>
      <x:c r="E791" t="str">
        <x:v>Electronics</x:v>
      </x:c>
      <x:c r="F791" t="str">
        <x:v>Midlands</x:v>
      </x:c>
      <x:c r="G791" t="str">
        <x:v>Partner</x:v>
      </x:c>
      <x:c r="H791" t="str">
        <x:v>Completed</x:v>
      </x:c>
      <x:c r="I791" t="n">
        <x:v>4</x:v>
      </x:c>
      <x:c r="J791" s="12" t="n">
        <x:v>903.86</x:v>
      </x:c>
      <x:c r="K791" s="12" t="n">
        <x:v>609.75</x:v>
      </x:c>
      <x:c r="L791" s="14" t="n">
        <x:v>0</x:v>
      </x:c>
      <x:c r="M791" s="12" t="n">
        <x:f>IF(H791="Completed",I791*J791*(1-L791),0)</x:f>
        <x:v>3615.44</x:v>
      </x:c>
      <x:c r="N791" s="12" t="n">
        <x:f>IF(H791="Completed",I791*K791,0)</x:f>
        <x:v>2439</x:v>
      </x:c>
      <x:c r="O791" s="12" t="n">
        <x:f>M791-N791</x:f>
        <x:v>1176.44</x:v>
      </x:c>
      <x:c r="P791" s="16" t="n">
        <x:f>IFERROR(O791/M791,0)</x:f>
        <x:v>0.32539331312371383</x:v>
      </x:c>
      <x:c r="Q791" t="n">
        <x:f>YEAR(B791)</x:f>
        <x:v>2026</x:v>
      </x:c>
      <x:c r="R791" t="str">
        <x:f>TEXT(B791,"yyyy-mm")</x:f>
        <x:v>2026-03</x:v>
      </x:c>
    </x:row>
    <x:row r="792">
      <x:c r="A792" t="n">
        <x:v>10435</x:v>
      </x:c>
      <x:c r="B792" s="10" t="n">
        <x:v>46089</x:v>
      </x:c>
      <x:c r="C792" t="str">
        <x:v>P006</x:v>
      </x:c>
      <x:c r="D792" t="str">
        <x:v>Chair</x:v>
      </x:c>
      <x:c r="E792" t="str">
        <x:v>Furniture</x:v>
      </x:c>
      <x:c r="F792" t="str">
        <x:v>Scotland</x:v>
      </x:c>
      <x:c r="G792" t="str">
        <x:v>Partner</x:v>
      </x:c>
      <x:c r="H792" t="str">
        <x:v>Completed</x:v>
      </x:c>
      <x:c r="I792" t="n">
        <x:v>1</x:v>
      </x:c>
      <x:c r="J792" s="12" t="n">
        <x:v>139.65</x:v>
      </x:c>
      <x:c r="K792" s="12" t="n">
        <x:v>67.02</x:v>
      </x:c>
      <x:c r="L792" s="14" t="n">
        <x:v>0.05</x:v>
      </x:c>
      <x:c r="M792" s="12" t="n">
        <x:f>IF(H792="Completed",I792*J792*(1-L792),0)</x:f>
        <x:v>132.6675</x:v>
      </x:c>
      <x:c r="N792" s="12" t="n">
        <x:f>IF(H792="Completed",I792*K792,0)</x:f>
        <x:v>67.02</x:v>
      </x:c>
      <x:c r="O792" s="12" t="n">
        <x:f>M792-N792</x:f>
        <x:v>65.6475</x:v>
      </x:c>
      <x:c r="P792" s="16" t="n">
        <x:f>IFERROR(O792/M792,0)</x:f>
        <x:v>0.4948272937984058</x:v>
      </x:c>
      <x:c r="Q792" t="n">
        <x:f>YEAR(B792)</x:f>
        <x:v>2026</x:v>
      </x:c>
      <x:c r="R792" t="str">
        <x:f>TEXT(B792,"yyyy-mm")</x:f>
        <x:v>2026-03</x:v>
      </x:c>
    </x:row>
    <x:row r="793">
      <x:c r="A793" t="n">
        <x:v>10690</x:v>
      </x:c>
      <x:c r="B793" s="10" t="n">
        <x:v>46091</x:v>
      </x:c>
      <x:c r="C793" t="str">
        <x:v>P002</x:v>
      </x:c>
      <x:c r="D793" t="str">
        <x:v>Monitor</x:v>
      </x:c>
      <x:c r="E793" t="str">
        <x:v>Electronics</x:v>
      </x:c>
      <x:c r="F793" t="str">
        <x:v>North</x:v>
      </x:c>
      <x:c r="G793" t="str">
        <x:v>Partner</x:v>
      </x:c>
      <x:c r="H793" t="str">
        <x:v>Completed</x:v>
      </x:c>
      <x:c r="I793" t="n">
        <x:v>2</x:v>
      </x:c>
      <x:c r="J793" s="12" t="n">
        <x:v>287.77</x:v>
      </x:c>
      <x:c r="K793" s="12" t="n">
        <x:v>174.55</x:v>
      </x:c>
      <x:c r="L793" s="14" t="n">
        <x:v>0</x:v>
      </x:c>
      <x:c r="M793" s="12" t="n">
        <x:f>IF(H793="Completed",I793*J793*(1-L793),0)</x:f>
        <x:v>575.54</x:v>
      </x:c>
      <x:c r="N793" s="12" t="n">
        <x:f>IF(H793="Completed",I793*K793,0)</x:f>
        <x:v>349.1</x:v>
      </x:c>
      <x:c r="O793" s="12" t="n">
        <x:f>M793-N793</x:f>
        <x:v>226.43999999999994</x:v>
      </x:c>
      <x:c r="P793" s="16" t="n">
        <x:f>IFERROR(O793/M793,0)</x:f>
        <x:v>0.39343920492059625</x:v>
      </x:c>
      <x:c r="Q793" t="n">
        <x:f>YEAR(B793)</x:f>
        <x:v>2026</x:v>
      </x:c>
      <x:c r="R793" t="str">
        <x:f>TEXT(B793,"yyyy-mm")</x:f>
        <x:v>2026-03</x:v>
      </x:c>
    </x:row>
    <x:row r="794">
      <x:c r="A794" t="n">
        <x:v>10509</x:v>
      </x:c>
      <x:c r="B794" s="10" t="n">
        <x:v>46093</x:v>
      </x:c>
      <x:c r="C794" t="str">
        <x:v>P003</x:v>
      </x:c>
      <x:c r="D794" t="str">
        <x:v>Keyboard</x:v>
      </x:c>
      <x:c r="E794" t="str">
        <x:v>Accessories</x:v>
      </x:c>
      <x:c r="F794" t="str">
        <x:v>North</x:v>
      </x:c>
      <x:c r="G794" t="str">
        <x:v>Online</x:v>
      </x:c>
      <x:c r="H794" t="str">
        <x:v>Completed</x:v>
      </x:c>
      <x:c r="I794" t="n">
        <x:v>1</x:v>
      </x:c>
      <x:c r="J794" s="12" t="n">
        <x:v>49.64</x:v>
      </x:c>
      <x:c r="K794" s="12" t="n">
        <x:v>26.37</x:v>
      </x:c>
      <x:c r="L794" s="14" t="n">
        <x:v>0.1</x:v>
      </x:c>
      <x:c r="M794" s="12" t="n">
        <x:f>IF(H794="Completed",I794*J794*(1-L794),0)</x:f>
        <x:v>44.676</x:v>
      </x:c>
      <x:c r="N794" s="12" t="n">
        <x:f>IF(H794="Completed",I794*K794,0)</x:f>
        <x:v>26.37</x:v>
      </x:c>
      <x:c r="O794" s="12" t="n">
        <x:f>M794-N794</x:f>
        <x:v>18.306</x:v>
      </x:c>
      <x:c r="P794" s="16" t="n">
        <x:f>IFERROR(O794/M794,0)</x:f>
        <x:v>0.4097502014504432</x:v>
      </x:c>
      <x:c r="Q794" t="n">
        <x:f>YEAR(B794)</x:f>
        <x:v>2026</x:v>
      </x:c>
      <x:c r="R794" t="str">
        <x:f>TEXT(B794,"yyyy-mm")</x:f>
        <x:v>2026-03</x:v>
      </x:c>
    </x:row>
    <x:row r="795">
      <x:c r="A795" t="n">
        <x:v>10764</x:v>
      </x:c>
      <x:c r="B795" s="10" t="n">
        <x:v>46093</x:v>
      </x:c>
      <x:c r="C795" t="str">
        <x:v>P002</x:v>
      </x:c>
      <x:c r="D795" t="str">
        <x:v>Monitor</x:v>
      </x:c>
      <x:c r="E795" t="str">
        <x:v>Electronics</x:v>
      </x:c>
      <x:c r="F795" t="str">
        <x:v>South</x:v>
      </x:c>
      <x:c r="G795" t="str">
        <x:v>Online</x:v>
      </x:c>
      <x:c r="H795" t="str">
        <x:v>Completed</x:v>
      </x:c>
      <x:c r="I795" t="n">
        <x:v>2</x:v>
      </x:c>
      <x:c r="J795" s="12" t="n">
        <x:v>278.26</x:v>
      </x:c>
      <x:c r="K795" s="12" t="n">
        <x:v>173.79</x:v>
      </x:c>
      <x:c r="L795" s="14" t="n">
        <x:v>0</x:v>
      </x:c>
      <x:c r="M795" s="12" t="n">
        <x:f>IF(H795="Completed",I795*J795*(1-L795),0)</x:f>
        <x:v>556.52</x:v>
      </x:c>
      <x:c r="N795" s="12" t="n">
        <x:f>IF(H795="Completed",I795*K795,0)</x:f>
        <x:v>347.58</x:v>
      </x:c>
      <x:c r="O795" s="12" t="n">
        <x:f>M795-N795</x:f>
        <x:v>208.94</x:v>
      </x:c>
      <x:c r="P795" s="16" t="n">
        <x:f>IFERROR(O795/M795,0)</x:f>
        <x:v>0.3754402357507367</x:v>
      </x:c>
      <x:c r="Q795" t="n">
        <x:f>YEAR(B795)</x:f>
        <x:v>2026</x:v>
      </x:c>
      <x:c r="R795" t="str">
        <x:f>TEXT(B795,"yyyy-mm")</x:f>
        <x:v>2026-03</x:v>
      </x:c>
    </x:row>
    <x:row r="796">
      <x:c r="A796" t="n">
        <x:v>10028</x:v>
      </x:c>
      <x:c r="B796" s="10" t="n">
        <x:v>46094</x:v>
      </x:c>
      <x:c r="C796" t="str">
        <x:v>P008</x:v>
      </x:c>
      <x:c r="D796" t="str">
        <x:v>Webcam</x:v>
      </x:c>
      <x:c r="E796" t="str">
        <x:v>Electronics</x:v>
      </x:c>
      <x:c r="F796" t="str">
        <x:v>North</x:v>
      </x:c>
      <x:c r="G796" t="str">
        <x:v>Online</x:v>
      </x:c>
      <x:c r="H796" t="str">
        <x:v>Completed</x:v>
      </x:c>
      <x:c r="I796" t="n">
        <x:v>2</x:v>
      </x:c>
      <x:c r="J796" s="12" t="n">
        <x:v>90.91</x:v>
      </x:c>
      <x:c r="K796" s="12" t="n">
        <x:v>41.29</x:v>
      </x:c>
      <x:c r="L796" s="14" t="n">
        <x:v>0.1</x:v>
      </x:c>
      <x:c r="M796" s="12" t="n">
        <x:f>IF(H796="Completed",I796*J796*(1-L796),0)</x:f>
        <x:v>163.638</x:v>
      </x:c>
      <x:c r="N796" s="12" t="n">
        <x:f>IF(H796="Completed",I796*K796,0)</x:f>
        <x:v>82.58</x:v>
      </x:c>
      <x:c r="O796" s="12" t="n">
        <x:f>M796-N796</x:f>
        <x:v>81.058</x:v>
      </x:c>
      <x:c r="P796" s="16" t="n">
        <x:f>IFERROR(O796/M796,0)</x:f>
        <x:v>0.49534949094953495</x:v>
      </x:c>
      <x:c r="Q796" t="n">
        <x:f>YEAR(B796)</x:f>
        <x:v>2026</x:v>
      </x:c>
      <x:c r="R796" t="str">
        <x:f>TEXT(B796,"yyyy-mm")</x:f>
        <x:v>2026-03</x:v>
      </x:c>
    </x:row>
    <x:row r="797">
      <x:c r="A797" t="n">
        <x:v>10168</x:v>
      </x:c>
      <x:c r="B797" s="10" t="n">
        <x:v>46094</x:v>
      </x:c>
      <x:c r="C797" t="str">
        <x:v>P008</x:v>
      </x:c>
      <x:c r="D797" t="str">
        <x:v>Webcam</x:v>
      </x:c>
      <x:c r="E797" t="str">
        <x:v>Electronics</x:v>
      </x:c>
      <x:c r="F797" t="str">
        <x:v>South</x:v>
      </x:c>
      <x:c r="G797" t="str">
        <x:v>Online</x:v>
      </x:c>
      <x:c r="H797" t="str">
        <x:v>Completed</x:v>
      </x:c>
      <x:c r="I797" t="n">
        <x:v>2</x:v>
      </x:c>
      <x:c r="J797" s="12" t="n">
        <x:v>88.62</x:v>
      </x:c>
      <x:c r="K797" s="12" t="n">
        <x:v>43.15</x:v>
      </x:c>
      <x:c r="L797" s="14" t="n">
        <x:v>0</x:v>
      </x:c>
      <x:c r="M797" s="12" t="n">
        <x:f>IF(H797="Completed",I797*J797*(1-L797),0)</x:f>
        <x:v>177.24</x:v>
      </x:c>
      <x:c r="N797" s="12" t="n">
        <x:f>IF(H797="Completed",I797*K797,0)</x:f>
        <x:v>86.3</x:v>
      </x:c>
      <x:c r="O797" s="12" t="n">
        <x:f>M797-N797</x:f>
        <x:v>90.94000000000001</x:v>
      </x:c>
      <x:c r="P797" s="16" t="n">
        <x:f>IFERROR(O797/M797,0)</x:f>
        <x:v>0.5130895960279847</x:v>
      </x:c>
      <x:c r="Q797" t="n">
        <x:f>YEAR(B797)</x:f>
        <x:v>2026</x:v>
      </x:c>
      <x:c r="R797" t="str">
        <x:f>TEXT(B797,"yyyy-mm")</x:f>
        <x:v>2026-03</x:v>
      </x:c>
    </x:row>
    <x:row r="798">
      <x:c r="A798" t="n">
        <x:v>10329</x:v>
      </x:c>
      <x:c r="B798" s="10" t="n">
        <x:v>46094</x:v>
      </x:c>
      <x:c r="C798" t="str">
        <x:v>P004</x:v>
      </x:c>
      <x:c r="D798" t="str">
        <x:v>Mouse</x:v>
      </x:c>
      <x:c r="E798" t="str">
        <x:v>Accessories</x:v>
      </x:c>
      <x:c r="F798" t="str">
        <x:v>Midlands</x:v>
      </x:c>
      <x:c r="G798" t="str">
        <x:v>Online</x:v>
      </x:c>
      <x:c r="H798" t="str">
        <x:v>Cancelled</x:v>
      </x:c>
      <x:c r="I798" t="n">
        <x:v>4</x:v>
      </x:c>
      <x:c r="J798" s="12" t="n">
        <x:v>27.19</x:v>
      </x:c>
      <x:c r="K798" s="12" t="n">
        <x:v>13.38</x:v>
      </x:c>
      <x:c r="L798" s="14" t="n">
        <x:v>0</x:v>
      </x:c>
      <x:c r="M798" s="12" t="n">
        <x:f>IF(H798="Completed",I798*J798*(1-L798),0)</x:f>
        <x:v>0</x:v>
      </x:c>
      <x:c r="N798" s="12" t="n">
        <x:f>IF(H798="Completed",I798*K798,0)</x:f>
        <x:v>0</x:v>
      </x:c>
      <x:c r="O798" s="12" t="n">
        <x:f>M798-N798</x:f>
        <x:v>0</x:v>
      </x:c>
      <x:c r="P798" s="16" t="n">
        <x:f>IFERROR(O798/M798,0)</x:f>
        <x:v>0</x:v>
      </x:c>
      <x:c r="Q798" t="n">
        <x:f>YEAR(B798)</x:f>
        <x:v>2026</x:v>
      </x:c>
      <x:c r="R798" t="str">
        <x:f>TEXT(B798,"yyyy-mm")</x:f>
        <x:v>2026-03</x:v>
      </x:c>
    </x:row>
    <x:row r="799">
      <x:c r="A799" t="n">
        <x:v>10426</x:v>
      </x:c>
      <x:c r="B799" s="10" t="n">
        <x:v>46095</x:v>
      </x:c>
      <x:c r="C799" t="str">
        <x:v>P002</x:v>
      </x:c>
      <x:c r="D799" t="str">
        <x:v>Monitor</x:v>
      </x:c>
      <x:c r="E799" t="str">
        <x:v>Electronics</x:v>
      </x:c>
      <x:c r="F799" t="str">
        <x:v>North</x:v>
      </x:c>
      <x:c r="G799" t="str">
        <x:v>Online</x:v>
      </x:c>
      <x:c r="H799" t="str">
        <x:v>Completed</x:v>
      </x:c>
      <x:c r="I799" t="n">
        <x:v>4</x:v>
      </x:c>
      <x:c r="J799" s="12" t="n">
        <x:v>295.86</x:v>
      </x:c>
      <x:c r="K799" s="12" t="n">
        <x:v>169.64</x:v>
      </x:c>
      <x:c r="L799" s="14" t="n">
        <x:v>0.1</x:v>
      </x:c>
      <x:c r="M799" s="12" t="n">
        <x:f>IF(H799="Completed",I799*J799*(1-L799),0)</x:f>
        <x:v>1065.096</x:v>
      </x:c>
      <x:c r="N799" s="12" t="n">
        <x:f>IF(H799="Completed",I799*K799,0)</x:f>
        <x:v>678.56</x:v>
      </x:c>
      <x:c r="O799" s="12" t="n">
        <x:f>M799-N799</x:f>
        <x:v>386.53600000000006</x:v>
      </x:c>
      <x:c r="P799" s="16" t="n">
        <x:f>IFERROR(O799/M799,0)</x:f>
        <x:v>0.3629118877547189</x:v>
      </x:c>
      <x:c r="Q799" t="n">
        <x:f>YEAR(B799)</x:f>
        <x:v>2026</x:v>
      </x:c>
      <x:c r="R799" t="str">
        <x:f>TEXT(B799,"yyyy-mm")</x:f>
        <x:v>2026-03</x:v>
      </x:c>
    </x:row>
    <x:row r="800">
      <x:c r="A800" t="n">
        <x:v>10051</x:v>
      </x:c>
      <x:c r="B800" s="10" t="n">
        <x:v>46096</x:v>
      </x:c>
      <x:c r="C800" t="str">
        <x:v>P006</x:v>
      </x:c>
      <x:c r="D800" t="str">
        <x:v>Chair</x:v>
      </x:c>
      <x:c r="E800" t="str">
        <x:v>Furniture</x:v>
      </x:c>
      <x:c r="F800" t="str">
        <x:v>Midlands</x:v>
      </x:c>
      <x:c r="G800" t="str">
        <x:v>Retail</x:v>
      </x:c>
      <x:c r="H800" t="str">
        <x:v>Cancelled</x:v>
      </x:c>
      <x:c r="I800" t="n">
        <x:v>4</x:v>
      </x:c>
      <x:c r="J800" s="12" t="n">
        <x:v>138.45</x:v>
      </x:c>
      <x:c r="K800" s="12" t="n">
        <x:v>69.9</x:v>
      </x:c>
      <x:c r="L800" s="14" t="n">
        <x:v>0.05</x:v>
      </x:c>
      <x:c r="M800" s="12" t="n">
        <x:f>IF(H800="Completed",I800*J800*(1-L800),0)</x:f>
        <x:v>0</x:v>
      </x:c>
      <x:c r="N800" s="12" t="n">
        <x:f>IF(H800="Completed",I800*K800,0)</x:f>
        <x:v>0</x:v>
      </x:c>
      <x:c r="O800" s="12" t="n">
        <x:f>M800-N800</x:f>
        <x:v>0</x:v>
      </x:c>
      <x:c r="P800" s="16" t="n">
        <x:f>IFERROR(O800/M800,0)</x:f>
        <x:v>0</x:v>
      </x:c>
      <x:c r="Q800" t="n">
        <x:f>YEAR(B800)</x:f>
        <x:v>2026</x:v>
      </x:c>
      <x:c r="R800" t="str">
        <x:f>TEXT(B800,"yyyy-mm")</x:f>
        <x:v>2026-03</x:v>
      </x:c>
    </x:row>
    <x:row r="801">
      <x:c r="A801" t="n">
        <x:v>10179</x:v>
      </x:c>
      <x:c r="B801" s="10" t="n">
        <x:v>46097</x:v>
      </x:c>
      <x:c r="C801" t="str">
        <x:v>P001</x:v>
      </x:c>
      <x:c r="D801" t="str">
        <x:v>Laptop</x:v>
      </x:c>
      <x:c r="E801" t="str">
        <x:v>Electronics</x:v>
      </x:c>
      <x:c r="F801" t="str">
        <x:v>Scotland</x:v>
      </x:c>
      <x:c r="G801" t="str">
        <x:v>Online</x:v>
      </x:c>
      <x:c r="H801" t="str">
        <x:v>Completed</x:v>
      </x:c>
      <x:c r="I801" t="n">
        <x:v>4</x:v>
      </x:c>
      <x:c r="J801" s="12" t="n">
        <x:v>908.74</x:v>
      </x:c>
      <x:c r="K801" s="12" t="n">
        <x:v>608.1</x:v>
      </x:c>
      <x:c r="L801" s="14" t="n">
        <x:v>0</x:v>
      </x:c>
      <x:c r="M801" s="12" t="n">
        <x:f>IF(H801="Completed",I801*J801*(1-L801),0)</x:f>
        <x:v>3634.96</x:v>
      </x:c>
      <x:c r="N801" s="12" t="n">
        <x:f>IF(H801="Completed",I801*K801,0)</x:f>
        <x:v>2432.4</x:v>
      </x:c>
      <x:c r="O801" s="12" t="n">
        <x:f>M801-N801</x:f>
        <x:v>1202.56</x:v>
      </x:c>
      <x:c r="P801" s="16" t="n">
        <x:f>IFERROR(O801/M801,0)</x:f>
        <x:v>0.3308317010366001</x:v>
      </x:c>
      <x:c r="Q801" t="n">
        <x:f>YEAR(B801)</x:f>
        <x:v>2026</x:v>
      </x:c>
      <x:c r="R801" t="str">
        <x:f>TEXT(B801,"yyyy-mm")</x:f>
        <x:v>2026-03</x:v>
      </x:c>
    </x:row>
    <x:row r="802">
      <x:c r="A802" t="n">
        <x:v>10653</x:v>
      </x:c>
      <x:c r="B802" s="10" t="n">
        <x:v>46098</x:v>
      </x:c>
      <x:c r="C802" t="str">
        <x:v>P006</x:v>
      </x:c>
      <x:c r="D802" t="str">
        <x:v>Chair</x:v>
      </x:c>
      <x:c r="E802" t="str">
        <x:v>Furniture</x:v>
      </x:c>
      <x:c r="F802" t="str">
        <x:v>North</x:v>
      </x:c>
      <x:c r="G802" t="str">
        <x:v>Retail</x:v>
      </x:c>
      <x:c r="H802" t="str">
        <x:v>Cancelled</x:v>
      </x:c>
      <x:c r="I802" t="n">
        <x:v>2</x:v>
      </x:c>
      <x:c r="J802" s="12" t="n">
        <x:v>132.03</x:v>
      </x:c>
      <x:c r="K802" s="12" t="n">
        <x:v>68.67</x:v>
      </x:c>
      <x:c r="L802" s="14" t="n">
        <x:v>0.05</x:v>
      </x:c>
      <x:c r="M802" s="12" t="n">
        <x:f>IF(H802="Completed",I802*J802*(1-L802),0)</x:f>
        <x:v>0</x:v>
      </x:c>
      <x:c r="N802" s="12" t="n">
        <x:f>IF(H802="Completed",I802*K802,0)</x:f>
        <x:v>0</x:v>
      </x:c>
      <x:c r="O802" s="12" t="n">
        <x:f>M802-N802</x:f>
        <x:v>0</x:v>
      </x:c>
      <x:c r="P802" s="16" t="n">
        <x:f>IFERROR(O802/M802,0)</x:f>
        <x:v>0</x:v>
      </x:c>
      <x:c r="Q802" t="n">
        <x:f>YEAR(B802)</x:f>
        <x:v>2026</x:v>
      </x:c>
      <x:c r="R802" t="str">
        <x:f>TEXT(B802,"yyyy-mm")</x:f>
        <x:v>2026-03</x:v>
      </x:c>
    </x:row>
    <x:row r="803">
      <x:c r="A803" t="n">
        <x:v>10180</x:v>
      </x:c>
      <x:c r="B803" s="10" t="n">
        <x:v>46099</x:v>
      </x:c>
      <x:c r="C803" t="str">
        <x:v>P002</x:v>
      </x:c>
      <x:c r="D803" t="str">
        <x:v>Monitor</x:v>
      </x:c>
      <x:c r="E803" t="str">
        <x:v>Electronics</x:v>
      </x:c>
      <x:c r="F803" t="str">
        <x:v>Midlands</x:v>
      </x:c>
      <x:c r="G803" t="str">
        <x:v>Retail</x:v>
      </x:c>
      <x:c r="H803" t="str">
        <x:v>Completed</x:v>
      </x:c>
      <x:c r="I803" t="n">
        <x:v>3</x:v>
      </x:c>
      <x:c r="J803" s="12" t="n">
        <x:v>291.12</x:v>
      </x:c>
      <x:c r="K803" s="12" t="n">
        <x:v>169.43</x:v>
      </x:c>
      <x:c r="L803" s="14" t="n">
        <x:v>0.1</x:v>
      </x:c>
      <x:c r="M803" s="12" t="n">
        <x:f>IF(H803="Completed",I803*J803*(1-L803),0)</x:f>
        <x:v>786.024</x:v>
      </x:c>
      <x:c r="N803" s="12" t="n">
        <x:f>IF(H803="Completed",I803*K803,0)</x:f>
        <x:v>508.29</x:v>
      </x:c>
      <x:c r="O803" s="12" t="n">
        <x:f>M803-N803</x:f>
        <x:v>277.734</x:v>
      </x:c>
      <x:c r="P803" s="16" t="n">
        <x:f>IFERROR(O803/M803,0)</x:f>
        <x:v>0.3533403560196635</x:v>
      </x:c>
      <x:c r="Q803" t="n">
        <x:f>YEAR(B803)</x:f>
        <x:v>2026</x:v>
      </x:c>
      <x:c r="R803" t="str">
        <x:f>TEXT(B803,"yyyy-mm")</x:f>
        <x:v>2026-03</x:v>
      </x:c>
    </x:row>
    <x:row r="804">
      <x:c r="A804" t="n">
        <x:v>10520</x:v>
      </x:c>
      <x:c r="B804" s="10" t="n">
        <x:v>46099</x:v>
      </x:c>
      <x:c r="C804" t="str">
        <x:v>P004</x:v>
      </x:c>
      <x:c r="D804" t="str">
        <x:v>Mouse</x:v>
      </x:c>
      <x:c r="E804" t="str">
        <x:v>Accessories</x:v>
      </x:c>
      <x:c r="F804" t="str">
        <x:v>Scotland</x:v>
      </x:c>
      <x:c r="G804" t="str">
        <x:v>Online</x:v>
      </x:c>
      <x:c r="H804" t="str">
        <x:v>Completed</x:v>
      </x:c>
      <x:c r="I804" t="n">
        <x:v>2</x:v>
      </x:c>
      <x:c r="J804" s="12" t="n">
        <x:v>27.2</x:v>
      </x:c>
      <x:c r="K804" s="12" t="n">
        <x:v>13.2</x:v>
      </x:c>
      <x:c r="L804" s="14" t="n">
        <x:v>0.1</x:v>
      </x:c>
      <x:c r="M804" s="12" t="n">
        <x:f>IF(H804="Completed",I804*J804*(1-L804),0)</x:f>
        <x:v>48.96</x:v>
      </x:c>
      <x:c r="N804" s="12" t="n">
        <x:f>IF(H804="Completed",I804*K804,0)</x:f>
        <x:v>26.4</x:v>
      </x:c>
      <x:c r="O804" s="12" t="n">
        <x:f>M804-N804</x:f>
        <x:v>22.560000000000002</x:v>
      </x:c>
      <x:c r="P804" s="16" t="n">
        <x:f>IFERROR(O804/M804,0)</x:f>
        <x:v>0.4607843137254902</x:v>
      </x:c>
      <x:c r="Q804" t="n">
        <x:f>YEAR(B804)</x:f>
        <x:v>2026</x:v>
      </x:c>
      <x:c r="R804" t="str">
        <x:f>TEXT(B804,"yyyy-mm")</x:f>
        <x:v>2026-03</x:v>
      </x:c>
    </x:row>
    <x:row r="805">
      <x:c r="A805" t="n">
        <x:v>10503</x:v>
      </x:c>
      <x:c r="B805" s="10" t="n">
        <x:v>46100</x:v>
      </x:c>
      <x:c r="C805" t="str">
        <x:v>P007</x:v>
      </x:c>
      <x:c r="D805" t="str">
        <x:v>Headset</x:v>
      </x:c>
      <x:c r="E805" t="str">
        <x:v>Accessories</x:v>
      </x:c>
      <x:c r="F805" t="str">
        <x:v>South</x:v>
      </x:c>
      <x:c r="G805" t="str">
        <x:v>Retail</x:v>
      </x:c>
      <x:c r="H805" t="str">
        <x:v>Cancelled</x:v>
      </x:c>
      <x:c r="I805" t="n">
        <x:v>3</x:v>
      </x:c>
      <x:c r="J805" s="12" t="n">
        <x:v>71.98</x:v>
      </x:c>
      <x:c r="K805" s="12" t="n">
        <x:v>34.75</x:v>
      </x:c>
      <x:c r="L805" s="14" t="n">
        <x:v>0</x:v>
      </x:c>
      <x:c r="M805" s="12" t="n">
        <x:f>IF(H805="Completed",I805*J805*(1-L805),0)</x:f>
        <x:v>0</x:v>
      </x:c>
      <x:c r="N805" s="12" t="n">
        <x:f>IF(H805="Completed",I805*K805,0)</x:f>
        <x:v>0</x:v>
      </x:c>
      <x:c r="O805" s="12" t="n">
        <x:f>M805-N805</x:f>
        <x:v>0</x:v>
      </x:c>
      <x:c r="P805" s="16" t="n">
        <x:f>IFERROR(O805/M805,0)</x:f>
        <x:v>0</x:v>
      </x:c>
      <x:c r="Q805" t="n">
        <x:f>YEAR(B805)</x:f>
        <x:v>2026</x:v>
      </x:c>
      <x:c r="R805" t="str">
        <x:f>TEXT(B805,"yyyy-mm")</x:f>
        <x:v>2026-03</x:v>
      </x:c>
    </x:row>
    <x:row r="806">
      <x:c r="A806" t="n">
        <x:v>10505</x:v>
      </x:c>
      <x:c r="B806" s="10" t="n">
        <x:v>46100</x:v>
      </x:c>
      <x:c r="C806" t="str">
        <x:v>P001</x:v>
      </x:c>
      <x:c r="D806" t="str">
        <x:v>Laptop</x:v>
      </x:c>
      <x:c r="E806" t="str">
        <x:v>Electronics</x:v>
      </x:c>
      <x:c r="F806" t="str">
        <x:v>South</x:v>
      </x:c>
      <x:c r="G806" t="str">
        <x:v>Online</x:v>
      </x:c>
      <x:c r="H806" t="str">
        <x:v>Completed</x:v>
      </x:c>
      <x:c r="I806" t="n">
        <x:v>1</x:v>
      </x:c>
      <x:c r="J806" s="12" t="n">
        <x:v>944.2</x:v>
      </x:c>
      <x:c r="K806" s="12" t="n">
        <x:v>620.27</x:v>
      </x:c>
      <x:c r="L806" s="14" t="n">
        <x:v>0.15</x:v>
      </x:c>
      <x:c r="M806" s="12" t="n">
        <x:f>IF(H806="Completed",I806*J806*(1-L806),0)</x:f>
        <x:v>802.57</x:v>
      </x:c>
      <x:c r="N806" s="12" t="n">
        <x:f>IF(H806="Completed",I806*K806,0)</x:f>
        <x:v>620.27</x:v>
      </x:c>
      <x:c r="O806" s="12" t="n">
        <x:f>M806-N806</x:f>
        <x:v>182.30000000000007</x:v>
      </x:c>
      <x:c r="P806" s="16" t="n">
        <x:f>IFERROR(O806/M806,0)</x:f>
        <x:v>0.22714529573744352</x:v>
      </x:c>
      <x:c r="Q806" t="n">
        <x:f>YEAR(B806)</x:f>
        <x:v>2026</x:v>
      </x:c>
      <x:c r="R806" t="str">
        <x:f>TEXT(B806,"yyyy-mm")</x:f>
        <x:v>2026-03</x:v>
      </x:c>
    </x:row>
    <x:row r="807">
      <x:c r="A807" t="n">
        <x:v>10617</x:v>
      </x:c>
      <x:c r="B807" s="10" t="n">
        <x:v>46102</x:v>
      </x:c>
      <x:c r="C807" t="str">
        <x:v>P003</x:v>
      </x:c>
      <x:c r="D807" t="str">
        <x:v>Keyboard</x:v>
      </x:c>
      <x:c r="E807" t="str">
        <x:v>Accessories</x:v>
      </x:c>
      <x:c r="F807" t="str">
        <x:v>South</x:v>
      </x:c>
      <x:c r="G807" t="str">
        <x:v>Online</x:v>
      </x:c>
      <x:c r="H807" t="str">
        <x:v>Completed</x:v>
      </x:c>
      <x:c r="I807" t="n">
        <x:v>4</x:v>
      </x:c>
      <x:c r="J807" s="12" t="n">
        <x:v>49.47</x:v>
      </x:c>
      <x:c r="K807" s="12" t="n">
        <x:v>26.34</x:v>
      </x:c>
      <x:c r="L807" s="14" t="n">
        <x:v>0</x:v>
      </x:c>
      <x:c r="M807" s="12" t="n">
        <x:f>IF(H807="Completed",I807*J807*(1-L807),0)</x:f>
        <x:v>197.88</x:v>
      </x:c>
      <x:c r="N807" s="12" t="n">
        <x:f>IF(H807="Completed",I807*K807,0)</x:f>
        <x:v>105.36</x:v>
      </x:c>
      <x:c r="O807" s="12" t="n">
        <x:f>M807-N807</x:f>
        <x:v>92.52</x:v>
      </x:c>
      <x:c r="P807" s="16" t="n">
        <x:f>IFERROR(O807/M807,0)</x:f>
        <x:v>0.4675560946027896</x:v>
      </x:c>
      <x:c r="Q807" t="n">
        <x:f>YEAR(B807)</x:f>
        <x:v>2026</x:v>
      </x:c>
      <x:c r="R807" t="str">
        <x:f>TEXT(B807,"yyyy-mm")</x:f>
        <x:v>2026-03</x:v>
      </x:c>
    </x:row>
    <x:row r="808">
      <x:c r="A808" t="n">
        <x:v>10723</x:v>
      </x:c>
      <x:c r="B808" s="10" t="n">
        <x:v>46105</x:v>
      </x:c>
      <x:c r="C808" t="str">
        <x:v>P004</x:v>
      </x:c>
      <x:c r="D808" t="str">
        <x:v>Mouse</x:v>
      </x:c>
      <x:c r="E808" t="str">
        <x:v>Accessories</x:v>
      </x:c>
      <x:c r="F808" t="str">
        <x:v>South</x:v>
      </x:c>
      <x:c r="G808" t="str">
        <x:v>Online</x:v>
      </x:c>
      <x:c r="H808" t="str">
        <x:v>Completed</x:v>
      </x:c>
      <x:c r="I808" t="n">
        <x:v>1</x:v>
      </x:c>
      <x:c r="J808" s="12" t="n">
        <x:v>27.98</x:v>
      </x:c>
      <x:c r="K808" s="12" t="n">
        <x:v>13.18</x:v>
      </x:c>
      <x:c r="L808" s="14" t="n">
        <x:v>0.1</x:v>
      </x:c>
      <x:c r="M808" s="12" t="n">
        <x:f>IF(H808="Completed",I808*J808*(1-L808),0)</x:f>
        <x:v>25.182000000000002</x:v>
      </x:c>
      <x:c r="N808" s="12" t="n">
        <x:f>IF(H808="Completed",I808*K808,0)</x:f>
        <x:v>13.18</x:v>
      </x:c>
      <x:c r="O808" s="12" t="n">
        <x:f>M808-N808</x:f>
        <x:v>12.002000000000002</x:v>
      </x:c>
      <x:c r="P808" s="16" t="n">
        <x:f>IFERROR(O808/M808,0)</x:f>
        <x:v>0.47661027718211424</x:v>
      </x:c>
      <x:c r="Q808" t="n">
        <x:f>YEAR(B808)</x:f>
        <x:v>2026</x:v>
      </x:c>
      <x:c r="R808" t="str">
        <x:f>TEXT(B808,"yyyy-mm")</x:f>
        <x:v>2026-03</x:v>
      </x:c>
    </x:row>
    <x:row r="809">
      <x:c r="A809" t="n">
        <x:v>10298</x:v>
      </x:c>
      <x:c r="B809" s="10" t="n">
        <x:v>46108</x:v>
      </x:c>
      <x:c r="C809" t="str">
        <x:v>P007</x:v>
      </x:c>
      <x:c r="D809" t="str">
        <x:v>Headset</x:v>
      </x:c>
      <x:c r="E809" t="str">
        <x:v>Accessories</x:v>
      </x:c>
      <x:c r="F809" t="str">
        <x:v>North</x:v>
      </x:c>
      <x:c r="G809" t="str">
        <x:v>Retail</x:v>
      </x:c>
      <x:c r="H809" t="str">
        <x:v>Completed</x:v>
      </x:c>
      <x:c r="I809" t="n">
        <x:v>2</x:v>
      </x:c>
      <x:c r="J809" s="12" t="n">
        <x:v>73.56</x:v>
      </x:c>
      <x:c r="K809" s="12" t="n">
        <x:v>35.85</x:v>
      </x:c>
      <x:c r="L809" s="14" t="n">
        <x:v>0</x:v>
      </x:c>
      <x:c r="M809" s="12" t="n">
        <x:f>IF(H809="Completed",I809*J809*(1-L809),0)</x:f>
        <x:v>147.12</x:v>
      </x:c>
      <x:c r="N809" s="12" t="n">
        <x:f>IF(H809="Completed",I809*K809,0)</x:f>
        <x:v>71.7</x:v>
      </x:c>
      <x:c r="O809" s="12" t="n">
        <x:f>M809-N809</x:f>
        <x:v>75.42</x:v>
      </x:c>
      <x:c r="P809" s="16" t="n">
        <x:f>IFERROR(O809/M809,0)</x:f>
        <x:v>0.5126427406199021</x:v>
      </x:c>
      <x:c r="Q809" t="n">
        <x:f>YEAR(B809)</x:f>
        <x:v>2026</x:v>
      </x:c>
      <x:c r="R809" t="str">
        <x:f>TEXT(B809,"yyyy-mm")</x:f>
        <x:v>2026-03</x:v>
      </x:c>
    </x:row>
    <x:row r="810">
      <x:c r="A810" t="n">
        <x:v>10098</x:v>
      </x:c>
      <x:c r="B810" s="10" t="n">
        <x:v>46110</x:v>
      </x:c>
      <x:c r="C810" t="str">
        <x:v>P004</x:v>
      </x:c>
      <x:c r="D810" t="str">
        <x:v>Mouse</x:v>
      </x:c>
      <x:c r="E810" t="str">
        <x:v>Accessories</x:v>
      </x:c>
      <x:c r="F810" t="str">
        <x:v>Midlands</x:v>
      </x:c>
      <x:c r="G810" t="str">
        <x:v>Online</x:v>
      </x:c>
      <x:c r="H810" t="str">
        <x:v>Completed</x:v>
      </x:c>
      <x:c r="I810" t="n">
        <x:v>2</x:v>
      </x:c>
      <x:c r="J810" s="12" t="n">
        <x:v>26.61</x:v>
      </x:c>
      <x:c r="K810" s="12" t="n">
        <x:v>13.29</x:v>
      </x:c>
      <x:c r="L810" s="14" t="n">
        <x:v>0</x:v>
      </x:c>
      <x:c r="M810" s="12" t="n">
        <x:f>IF(H810="Completed",I810*J810*(1-L810),0)</x:f>
        <x:v>53.22</x:v>
      </x:c>
      <x:c r="N810" s="12" t="n">
        <x:f>IF(H810="Completed",I810*K810,0)</x:f>
        <x:v>26.58</x:v>
      </x:c>
      <x:c r="O810" s="12" t="n">
        <x:f>M810-N810</x:f>
        <x:v>26.64</x:v>
      </x:c>
      <x:c r="P810" s="16" t="n">
        <x:f>IFERROR(O810/M810,0)</x:f>
        <x:v>0.5005636978579482</x:v>
      </x:c>
      <x:c r="Q810" t="n">
        <x:f>YEAR(B810)</x:f>
        <x:v>2026</x:v>
      </x:c>
      <x:c r="R810" t="str">
        <x:f>TEXT(B810,"yyyy-mm")</x:f>
        <x:v>2026-03</x:v>
      </x:c>
    </x:row>
    <x:row r="811">
      <x:c r="A811" t="n">
        <x:v>10445</x:v>
      </x:c>
      <x:c r="B811" s="10" t="n">
        <x:v>46111</x:v>
      </x:c>
      <x:c r="C811" t="str">
        <x:v>P005</x:v>
      </x:c>
      <x:c r="D811" t="str">
        <x:v>Desk</x:v>
      </x:c>
      <x:c r="E811" t="str">
        <x:v>Furniture</x:v>
      </x:c>
      <x:c r="F811" t="str">
        <x:v>South</x:v>
      </x:c>
      <x:c r="G811" t="str">
        <x:v>Online</x:v>
      </x:c>
      <x:c r="H811" t="str">
        <x:v>Completed</x:v>
      </x:c>
      <x:c r="I811" t="n">
        <x:v>3</x:v>
      </x:c>
      <x:c r="J811" s="12" t="n">
        <x:v>269.45</x:v>
      </x:c>
      <x:c r="K811" s="12" t="n">
        <x:v>157.46</x:v>
      </x:c>
      <x:c r="L811" s="14" t="n">
        <x:v>0.05</x:v>
      </x:c>
      <x:c r="M811" s="12" t="n">
        <x:f>IF(H811="Completed",I811*J811*(1-L811),0)</x:f>
        <x:v>767.9324999999999</x:v>
      </x:c>
      <x:c r="N811" s="12" t="n">
        <x:f>IF(H811="Completed",I811*K811,0)</x:f>
        <x:v>472.38</x:v>
      </x:c>
      <x:c r="O811" s="12" t="n">
        <x:f>M811-N811</x:f>
        <x:v>295.5524999999999</x:v>
      </x:c>
      <x:c r="P811" s="16" t="n">
        <x:f>IFERROR(O811/M811,0)</x:f>
        <x:v>0.3848678106474201</x:v>
      </x:c>
      <x:c r="Q811" t="n">
        <x:f>YEAR(B811)</x:f>
        <x:v>2026</x:v>
      </x:c>
      <x:c r="R811" t="str">
        <x:f>TEXT(B811,"yyyy-mm")</x:f>
        <x:v>2026-03</x:v>
      </x:c>
    </x:row>
    <x:row r="812">
      <x:c r="A812" t="n">
        <x:v>10151</x:v>
      </x:c>
      <x:c r="B812" s="10" t="n">
        <x:v>46112</x:v>
      </x:c>
      <x:c r="C812" t="str">
        <x:v>P008</x:v>
      </x:c>
      <x:c r="D812" t="str">
        <x:v>Webcam</x:v>
      </x:c>
      <x:c r="E812" t="str">
        <x:v>Electronics</x:v>
      </x:c>
      <x:c r="F812" t="str">
        <x:v>North</x:v>
      </x:c>
      <x:c r="G812" t="str">
        <x:v>Retail</x:v>
      </x:c>
      <x:c r="H812" t="str">
        <x:v>Completed</x:v>
      </x:c>
      <x:c r="I812" t="n">
        <x:v>3</x:v>
      </x:c>
      <x:c r="J812" s="12" t="n">
        <x:v>90</x:v>
      </x:c>
      <x:c r="K812" s="12" t="n">
        <x:v>42.26</x:v>
      </x:c>
      <x:c r="L812" s="14" t="n">
        <x:v>0.05</x:v>
      </x:c>
      <x:c r="M812" s="12" t="n">
        <x:f>IF(H812="Completed",I812*J812*(1-L812),0)</x:f>
        <x:v>256.5</x:v>
      </x:c>
      <x:c r="N812" s="12" t="n">
        <x:f>IF(H812="Completed",I812*K812,0)</x:f>
        <x:v>126.78</x:v>
      </x:c>
      <x:c r="O812" s="12" t="n">
        <x:f>M812-N812</x:f>
        <x:v>129.72</x:v>
      </x:c>
      <x:c r="P812" s="16" t="n">
        <x:f>IFERROR(O812/M812,0)</x:f>
        <x:v>0.5057309941520468</x:v>
      </x:c>
      <x:c r="Q812" t="n">
        <x:f>YEAR(B812)</x:f>
        <x:v>2026</x:v>
      </x:c>
      <x:c r="R812" t="str">
        <x:f>TEXT(B812,"yyyy-mm")</x:f>
        <x:v>2026-03</x:v>
      </x:c>
    </x:row>
    <x:row r="813">
      <x:c r="A813" t="n">
        <x:v>10350</x:v>
      </x:c>
      <x:c r="B813" s="10" t="n">
        <x:v>46112</x:v>
      </x:c>
      <x:c r="C813" t="str">
        <x:v>P007</x:v>
      </x:c>
      <x:c r="D813" t="str">
        <x:v>Headset</x:v>
      </x:c>
      <x:c r="E813" t="str">
        <x:v>Accessories</x:v>
      </x:c>
      <x:c r="F813" t="str">
        <x:v>Midlands</x:v>
      </x:c>
      <x:c r="G813" t="str">
        <x:v>Online</x:v>
      </x:c>
      <x:c r="H813" t="str">
        <x:v>Completed</x:v>
      </x:c>
      <x:c r="I813" t="n">
        <x:v>3</x:v>
      </x:c>
      <x:c r="J813" s="12" t="n">
        <x:v>70.53</x:v>
      </x:c>
      <x:c r="K813" s="12" t="n">
        <x:v>35.65</x:v>
      </x:c>
      <x:c r="L813" s="14" t="n">
        <x:v>0</x:v>
      </x:c>
      <x:c r="M813" s="12" t="n">
        <x:f>IF(H813="Completed",I813*J813*(1-L813),0)</x:f>
        <x:v>211.59</x:v>
      </x:c>
      <x:c r="N813" s="12" t="n">
        <x:f>IF(H813="Completed",I813*K813,0)</x:f>
        <x:v>106.94999999999999</x:v>
      </x:c>
      <x:c r="O813" s="12" t="n">
        <x:f>M813-N813</x:f>
        <x:v>104.64000000000001</x:v>
      </x:c>
      <x:c r="P813" s="16" t="n">
        <x:f>IFERROR(O813/M813,0)</x:f>
        <x:v>0.4945413299305261</x:v>
      </x:c>
      <x:c r="Q813" t="n">
        <x:f>YEAR(B813)</x:f>
        <x:v>2026</x:v>
      </x:c>
      <x:c r="R813" t="str">
        <x:f>TEXT(B813,"yyyy-mm")</x:f>
        <x:v>2026-03</x:v>
      </x:c>
    </x:row>
    <x:row r="814">
      <x:c r="A814" t="n">
        <x:v>10732</x:v>
      </x:c>
      <x:c r="B814" s="10" t="n">
        <x:v>46113</x:v>
      </x:c>
      <x:c r="C814" t="str">
        <x:v>P004</x:v>
      </x:c>
      <x:c r="D814" t="str">
        <x:v>Mouse</x:v>
      </x:c>
      <x:c r="E814" t="str">
        <x:v>Accessories</x:v>
      </x:c>
      <x:c r="F814" t="str">
        <x:v>Midlands</x:v>
      </x:c>
      <x:c r="G814" t="str">
        <x:v>Online</x:v>
      </x:c>
      <x:c r="H814" t="str">
        <x:v>Completed</x:v>
      </x:c>
      <x:c r="I814" t="n">
        <x:v>3</x:v>
      </x:c>
      <x:c r="J814" s="12" t="n">
        <x:v>27.31</x:v>
      </x:c>
      <x:c r="K814" s="12" t="n">
        <x:v>13.19</x:v>
      </x:c>
      <x:c r="L814" s="14" t="n">
        <x:v>0.05</x:v>
      </x:c>
      <x:c r="M814" s="12" t="n">
        <x:f>IF(H814="Completed",I814*J814*(1-L814),0)</x:f>
        <x:v>77.83349999999999</x:v>
      </x:c>
      <x:c r="N814" s="12" t="n">
        <x:f>IF(H814="Completed",I814*K814,0)</x:f>
        <x:v>39.57</x:v>
      </x:c>
      <x:c r="O814" s="12" t="n">
        <x:f>M814-N814</x:f>
        <x:v>38.263499999999986</x:v>
      </x:c>
      <x:c r="P814" s="16" t="n">
        <x:f>IFERROR(O814/M814,0)</x:f>
        <x:v>0.4916070843531383</x:v>
      </x:c>
      <x:c r="Q814" t="n">
        <x:f>YEAR(B814)</x:f>
        <x:v>2026</x:v>
      </x:c>
      <x:c r="R814" t="str">
        <x:f>TEXT(B814,"yyyy-mm")</x:f>
        <x:v>2026-04</x:v>
      </x:c>
    </x:row>
    <x:row r="815">
      <x:c r="A815" t="n">
        <x:v>10868</x:v>
      </x:c>
      <x:c r="B815" s="10" t="n">
        <x:v>46113</x:v>
      </x:c>
      <x:c r="C815" t="str">
        <x:v>P007</x:v>
      </x:c>
      <x:c r="D815" t="str">
        <x:v>Headset</x:v>
      </x:c>
      <x:c r="E815" t="str">
        <x:v>Accessories</x:v>
      </x:c>
      <x:c r="F815" t="str">
        <x:v>Wales</x:v>
      </x:c>
      <x:c r="G815" t="str">
        <x:v>Partner</x:v>
      </x:c>
      <x:c r="H815" t="str">
        <x:v>Cancelled</x:v>
      </x:c>
      <x:c r="I815" t="n">
        <x:v>4</x:v>
      </x:c>
      <x:c r="J815" s="12" t="n">
        <x:v>71.66</x:v>
      </x:c>
      <x:c r="K815" s="12" t="n">
        <x:v>34.35</x:v>
      </x:c>
      <x:c r="L815" s="14" t="n">
        <x:v>0.15</x:v>
      </x:c>
      <x:c r="M815" s="12" t="n">
        <x:f>IF(H815="Completed",I815*J815*(1-L815),0)</x:f>
        <x:v>0</x:v>
      </x:c>
      <x:c r="N815" s="12" t="n">
        <x:f>IF(H815="Completed",I815*K815,0)</x:f>
        <x:v>0</x:v>
      </x:c>
      <x:c r="O815" s="12" t="n">
        <x:f>M815-N815</x:f>
        <x:v>0</x:v>
      </x:c>
      <x:c r="P815" s="16" t="n">
        <x:f>IFERROR(O815/M815,0)</x:f>
        <x:v>0</x:v>
      </x:c>
      <x:c r="Q815" t="n">
        <x:f>YEAR(B815)</x:f>
        <x:v>2026</x:v>
      </x:c>
      <x:c r="R815" t="str">
        <x:f>TEXT(B815,"yyyy-mm")</x:f>
        <x:v>2026-04</x:v>
      </x:c>
    </x:row>
    <x:row r="816">
      <x:c r="A816" t="n">
        <x:v>10518</x:v>
      </x:c>
      <x:c r="B816" s="10" t="n">
        <x:v>46114</x:v>
      </x:c>
      <x:c r="C816" t="str">
        <x:v>P005</x:v>
      </x:c>
      <x:c r="D816" t="str">
        <x:v>Desk</x:v>
      </x:c>
      <x:c r="E816" t="str">
        <x:v>Furniture</x:v>
      </x:c>
      <x:c r="F816" t="str">
        <x:v>South</x:v>
      </x:c>
      <x:c r="G816" t="str">
        <x:v>Partner</x:v>
      </x:c>
      <x:c r="H816" t="str">
        <x:v>Cancelled</x:v>
      </x:c>
      <x:c r="I816" t="n">
        <x:v>3</x:v>
      </x:c>
      <x:c r="J816" s="12" t="n">
        <x:v>281.57</x:v>
      </x:c>
      <x:c r="K816" s="12" t="n">
        <x:v>157.77</x:v>
      </x:c>
      <x:c r="L816" s="14" t="n">
        <x:v>0.05</x:v>
      </x:c>
      <x:c r="M816" s="12" t="n">
        <x:f>IF(H816="Completed",I816*J816*(1-L816),0)</x:f>
        <x:v>0</x:v>
      </x:c>
      <x:c r="N816" s="12" t="n">
        <x:f>IF(H816="Completed",I816*K816,0)</x:f>
        <x:v>0</x:v>
      </x:c>
      <x:c r="O816" s="12" t="n">
        <x:f>M816-N816</x:f>
        <x:v>0</x:v>
      </x:c>
      <x:c r="P816" s="16" t="n">
        <x:f>IFERROR(O816/M816,0)</x:f>
        <x:v>0</x:v>
      </x:c>
      <x:c r="Q816" t="n">
        <x:f>YEAR(B816)</x:f>
        <x:v>2026</x:v>
      </x:c>
      <x:c r="R816" t="str">
        <x:f>TEXT(B816,"yyyy-mm")</x:f>
        <x:v>2026-04</x:v>
      </x:c>
    </x:row>
    <x:row r="817">
      <x:c r="A817" t="n">
        <x:v>10683</x:v>
      </x:c>
      <x:c r="B817" s="10" t="n">
        <x:v>46114</x:v>
      </x:c>
      <x:c r="C817" t="str">
        <x:v>P003</x:v>
      </x:c>
      <x:c r="D817" t="str">
        <x:v>Keyboard</x:v>
      </x:c>
      <x:c r="E817" t="str">
        <x:v>Accessories</x:v>
      </x:c>
      <x:c r="F817" t="str">
        <x:v>South</x:v>
      </x:c>
      <x:c r="G817" t="str">
        <x:v>Online</x:v>
      </x:c>
      <x:c r="H817" t="str">
        <x:v>Completed</x:v>
      </x:c>
      <x:c r="I817" t="n">
        <x:v>1</x:v>
      </x:c>
      <x:c r="J817" s="12" t="n">
        <x:v>50.74</x:v>
      </x:c>
      <x:c r="K817" s="12" t="n">
        <x:v>26.31</x:v>
      </x:c>
      <x:c r="L817" s="14" t="n">
        <x:v>0.15</x:v>
      </x:c>
      <x:c r="M817" s="12" t="n">
        <x:f>IF(H817="Completed",I817*J817*(1-L817),0)</x:f>
        <x:v>43.129</x:v>
      </x:c>
      <x:c r="N817" s="12" t="n">
        <x:f>IF(H817="Completed",I817*K817,0)</x:f>
        <x:v>26.31</x:v>
      </x:c>
      <x:c r="O817" s="12" t="n">
        <x:f>M817-N817</x:f>
        <x:v>16.819</x:v>
      </x:c>
      <x:c r="P817" s="16" t="n">
        <x:f>IFERROR(O817/M817,0)</x:f>
        <x:v>0.38996962600570384</x:v>
      </x:c>
      <x:c r="Q817" t="n">
        <x:f>YEAR(B817)</x:f>
        <x:v>2026</x:v>
      </x:c>
      <x:c r="R817" t="str">
        <x:f>TEXT(B817,"yyyy-mm")</x:f>
        <x:v>2026-04</x:v>
      </x:c>
    </x:row>
    <x:row r="818">
      <x:c r="A818" t="n">
        <x:v>10284</x:v>
      </x:c>
      <x:c r="B818" s="10" t="n">
        <x:v>46115</x:v>
      </x:c>
      <x:c r="C818" t="str">
        <x:v>P006</x:v>
      </x:c>
      <x:c r="D818" t="str">
        <x:v>Chair</x:v>
      </x:c>
      <x:c r="E818" t="str">
        <x:v>Furniture</x:v>
      </x:c>
      <x:c r="F818" t="str">
        <x:v>Midlands</x:v>
      </x:c>
      <x:c r="G818" t="str">
        <x:v>Retail</x:v>
      </x:c>
      <x:c r="H818" t="str">
        <x:v>Cancelled</x:v>
      </x:c>
      <x:c r="I818" t="n">
        <x:v>4</x:v>
      </x:c>
      <x:c r="J818" s="12" t="n">
        <x:v>133.79</x:v>
      </x:c>
      <x:c r="K818" s="12" t="n">
        <x:v>68.69</x:v>
      </x:c>
      <x:c r="L818" s="14" t="n">
        <x:v>0</x:v>
      </x:c>
      <x:c r="M818" s="12" t="n">
        <x:f>IF(H818="Completed",I818*J818*(1-L818),0)</x:f>
        <x:v>0</x:v>
      </x:c>
      <x:c r="N818" s="12" t="n">
        <x:f>IF(H818="Completed",I818*K818,0)</x:f>
        <x:v>0</x:v>
      </x:c>
      <x:c r="O818" s="12" t="n">
        <x:f>M818-N818</x:f>
        <x:v>0</x:v>
      </x:c>
      <x:c r="P818" s="16" t="n">
        <x:f>IFERROR(O818/M818,0)</x:f>
        <x:v>0</x:v>
      </x:c>
      <x:c r="Q818" t="n">
        <x:f>YEAR(B818)</x:f>
        <x:v>2026</x:v>
      </x:c>
      <x:c r="R818" t="str">
        <x:f>TEXT(B818,"yyyy-mm")</x:f>
        <x:v>2026-04</x:v>
      </x:c>
    </x:row>
    <x:row r="819">
      <x:c r="A819" t="n">
        <x:v>10368</x:v>
      </x:c>
      <x:c r="B819" s="10" t="n">
        <x:v>46117</x:v>
      </x:c>
      <x:c r="C819" t="str">
        <x:v>P003</x:v>
      </x:c>
      <x:c r="D819" t="str">
        <x:v>Keyboard</x:v>
      </x:c>
      <x:c r="E819" t="str">
        <x:v>Accessories</x:v>
      </x:c>
      <x:c r="F819" t="str">
        <x:v>South</x:v>
      </x:c>
      <x:c r="G819" t="str">
        <x:v>Partner</x:v>
      </x:c>
      <x:c r="H819" t="str">
        <x:v>Completed</x:v>
      </x:c>
      <x:c r="I819" t="n">
        <x:v>3</x:v>
      </x:c>
      <x:c r="J819" s="12" t="n">
        <x:v>47.61</x:v>
      </x:c>
      <x:c r="K819" s="12" t="n">
        <x:v>26.24</x:v>
      </x:c>
      <x:c r="L819" s="14" t="n">
        <x:v>0</x:v>
      </x:c>
      <x:c r="M819" s="12" t="n">
        <x:f>IF(H819="Completed",I819*J819*(1-L819),0)</x:f>
        <x:v>142.82999999999998</x:v>
      </x:c>
      <x:c r="N819" s="12" t="n">
        <x:f>IF(H819="Completed",I819*K819,0)</x:f>
        <x:v>78.72</x:v>
      </x:c>
      <x:c r="O819" s="12" t="n">
        <x:f>M819-N819</x:f>
        <x:v>64.10999999999999</x:v>
      </x:c>
      <x:c r="P819" s="16" t="n">
        <x:f>IFERROR(O819/M819,0)</x:f>
        <x:v>0.4488552825036756</x:v>
      </x:c>
      <x:c r="Q819" t="n">
        <x:f>YEAR(B819)</x:f>
        <x:v>2026</x:v>
      </x:c>
      <x:c r="R819" t="str">
        <x:f>TEXT(B819,"yyyy-mm")</x:f>
        <x:v>2026-04</x:v>
      </x:c>
    </x:row>
    <x:row r="820">
      <x:c r="A820" t="n">
        <x:v>10550</x:v>
      </x:c>
      <x:c r="B820" s="10" t="n">
        <x:v>46118</x:v>
      </x:c>
      <x:c r="C820" t="str">
        <x:v>P005</x:v>
      </x:c>
      <x:c r="D820" t="str">
        <x:v>Desk</x:v>
      </x:c>
      <x:c r="E820" t="str">
        <x:v>Furniture</x:v>
      </x:c>
      <x:c r="F820" t="str">
        <x:v>South</x:v>
      </x:c>
      <x:c r="G820" t="str">
        <x:v>Online</x:v>
      </x:c>
      <x:c r="H820" t="str">
        <x:v>Completed</x:v>
      </x:c>
      <x:c r="I820" t="n">
        <x:v>3</x:v>
      </x:c>
      <x:c r="J820" s="12" t="n">
        <x:v>270.37</x:v>
      </x:c>
      <x:c r="K820" s="12" t="n">
        <x:v>152.43</x:v>
      </x:c>
      <x:c r="L820" s="14" t="n">
        <x:v>0.05</x:v>
      </x:c>
      <x:c r="M820" s="12" t="n">
        <x:f>IF(H820="Completed",I820*J820*(1-L820),0)</x:f>
        <x:v>770.5545</x:v>
      </x:c>
      <x:c r="N820" s="12" t="n">
        <x:f>IF(H820="Completed",I820*K820,0)</x:f>
        <x:v>457.29</x:v>
      </x:c>
      <x:c r="O820" s="12" t="n">
        <x:f>M820-N820</x:f>
        <x:v>313.26449999999994</x:v>
      </x:c>
      <x:c r="P820" s="16" t="n">
        <x:f>IFERROR(O820/M820,0)</x:f>
        <x:v>0.4065442483302608</x:v>
      </x:c>
      <x:c r="Q820" t="n">
        <x:f>YEAR(B820)</x:f>
        <x:v>2026</x:v>
      </x:c>
      <x:c r="R820" t="str">
        <x:f>TEXT(B820,"yyyy-mm")</x:f>
        <x:v>2026-04</x:v>
      </x:c>
    </x:row>
    <x:row r="821">
      <x:c r="A821" t="n">
        <x:v>10672</x:v>
      </x:c>
      <x:c r="B821" s="10" t="n">
        <x:v>46119</x:v>
      </x:c>
      <x:c r="C821" t="str">
        <x:v>P003</x:v>
      </x:c>
      <x:c r="D821" t="str">
        <x:v>Keyboard</x:v>
      </x:c>
      <x:c r="E821" t="str">
        <x:v>Accessories</x:v>
      </x:c>
      <x:c r="F821" t="str">
        <x:v>Scotland</x:v>
      </x:c>
      <x:c r="G821" t="str">
        <x:v>Online</x:v>
      </x:c>
      <x:c r="H821" t="str">
        <x:v>Completed</x:v>
      </x:c>
      <x:c r="I821" t="n">
        <x:v>3</x:v>
      </x:c>
      <x:c r="J821" s="12" t="n">
        <x:v>50.49</x:v>
      </x:c>
      <x:c r="K821" s="12" t="n">
        <x:v>25.93</x:v>
      </x:c>
      <x:c r="L821" s="14" t="n">
        <x:v>0.1</x:v>
      </x:c>
      <x:c r="M821" s="12" t="n">
        <x:f>IF(H821="Completed",I821*J821*(1-L821),0)</x:f>
        <x:v>136.323</x:v>
      </x:c>
      <x:c r="N821" s="12" t="n">
        <x:f>IF(H821="Completed",I821*K821,0)</x:f>
        <x:v>77.78999999999999</x:v>
      </x:c>
      <x:c r="O821" s="12" t="n">
        <x:f>M821-N821</x:f>
        <x:v>58.533000000000015</x:v>
      </x:c>
      <x:c r="P821" s="16" t="n">
        <x:f>IFERROR(O821/M821,0)</x:f>
        <x:v>0.42936995224576935</x:v>
      </x:c>
      <x:c r="Q821" t="n">
        <x:f>YEAR(B821)</x:f>
        <x:v>2026</x:v>
      </x:c>
      <x:c r="R821" t="str">
        <x:f>TEXT(B821,"yyyy-mm")</x:f>
        <x:v>2026-04</x:v>
      </x:c>
    </x:row>
    <x:row r="822">
      <x:c r="A822" t="n">
        <x:v>10670</x:v>
      </x:c>
      <x:c r="B822" s="10" t="n">
        <x:v>46120</x:v>
      </x:c>
      <x:c r="C822" t="str">
        <x:v>P001</x:v>
      </x:c>
      <x:c r="D822" t="str">
        <x:v>Laptop</x:v>
      </x:c>
      <x:c r="E822" t="str">
        <x:v>Electronics</x:v>
      </x:c>
      <x:c r="F822" t="str">
        <x:v>South</x:v>
      </x:c>
      <x:c r="G822" t="str">
        <x:v>Online</x:v>
      </x:c>
      <x:c r="H822" t="str">
        <x:v>Completed</x:v>
      </x:c>
      <x:c r="I822" t="n">
        <x:v>3</x:v>
      </x:c>
      <x:c r="J822" s="12" t="n">
        <x:v>908.63</x:v>
      </x:c>
      <x:c r="K822" s="12" t="n">
        <x:v>626.69</x:v>
      </x:c>
      <x:c r="L822" s="14" t="n">
        <x:v>0</x:v>
      </x:c>
      <x:c r="M822" s="12" t="n">
        <x:f>IF(H822="Completed",I822*J822*(1-L822),0)</x:f>
        <x:v>2725.89</x:v>
      </x:c>
      <x:c r="N822" s="12" t="n">
        <x:f>IF(H822="Completed",I822*K822,0)</x:f>
        <x:v>1880.0700000000002</x:v>
      </x:c>
      <x:c r="O822" s="12" t="n">
        <x:f>M822-N822</x:f>
        <x:v>845.8199999999997</x:v>
      </x:c>
      <x:c r="P822" s="16" t="n">
        <x:f>IFERROR(O822/M822,0)</x:f>
        <x:v>0.31029131769807283</x:v>
      </x:c>
      <x:c r="Q822" t="n">
        <x:f>YEAR(B822)</x:f>
        <x:v>2026</x:v>
      </x:c>
      <x:c r="R822" t="str">
        <x:f>TEXT(B822,"yyyy-mm")</x:f>
        <x:v>2026-04</x:v>
      </x:c>
    </x:row>
    <x:row r="823">
      <x:c r="A823" t="n">
        <x:v>10779</x:v>
      </x:c>
      <x:c r="B823" s="10" t="n">
        <x:v>46120</x:v>
      </x:c>
      <x:c r="C823" t="str">
        <x:v>P001</x:v>
      </x:c>
      <x:c r="D823" t="str">
        <x:v>Laptop</x:v>
      </x:c>
      <x:c r="E823" t="str">
        <x:v>Electronics</x:v>
      </x:c>
      <x:c r="F823" t="str">
        <x:v>Wales</x:v>
      </x:c>
      <x:c r="G823" t="str">
        <x:v>Partner</x:v>
      </x:c>
      <x:c r="H823" t="str">
        <x:v>Completed</x:v>
      </x:c>
      <x:c r="I823" t="n">
        <x:v>1</x:v>
      </x:c>
      <x:c r="J823" s="12" t="n">
        <x:v>921.39</x:v>
      </x:c>
      <x:c r="K823" s="12" t="n">
        <x:v>634.04</x:v>
      </x:c>
      <x:c r="L823" s="14" t="n">
        <x:v>0.05</x:v>
      </x:c>
      <x:c r="M823" s="12" t="n">
        <x:f>IF(H823="Completed",I823*J823*(1-L823),0)</x:f>
        <x:v>875.3204999999999</x:v>
      </x:c>
      <x:c r="N823" s="12" t="n">
        <x:f>IF(H823="Completed",I823*K823,0)</x:f>
        <x:v>634.04</x:v>
      </x:c>
      <x:c r="O823" s="12" t="n">
        <x:f>M823-N823</x:f>
        <x:v>241.28049999999996</x:v>
      </x:c>
      <x:c r="P823" s="16" t="n">
        <x:f>IFERROR(O823/M823,0)</x:f>
        <x:v>0.27564817686778725</x:v>
      </x:c>
      <x:c r="Q823" t="n">
        <x:f>YEAR(B823)</x:f>
        <x:v>2026</x:v>
      </x:c>
      <x:c r="R823" t="str">
        <x:f>TEXT(B823,"yyyy-mm")</x:f>
        <x:v>2026-04</x:v>
      </x:c>
    </x:row>
    <x:row r="824">
      <x:c r="A824" t="n">
        <x:v>10873</x:v>
      </x:c>
      <x:c r="B824" s="10" t="n">
        <x:v>46123</x:v>
      </x:c>
      <x:c r="C824" t="str">
        <x:v>P007</x:v>
      </x:c>
      <x:c r="D824" t="str">
        <x:v>Headset</x:v>
      </x:c>
      <x:c r="E824" t="str">
        <x:v>Accessories</x:v>
      </x:c>
      <x:c r="F824" t="str">
        <x:v>Wales</x:v>
      </x:c>
      <x:c r="G824" t="str">
        <x:v>Online</x:v>
      </x:c>
      <x:c r="H824" t="str">
        <x:v>Cancelled</x:v>
      </x:c>
      <x:c r="I824" t="n">
        <x:v>2</x:v>
      </x:c>
      <x:c r="J824" s="12" t="n">
        <x:v>71.81</x:v>
      </x:c>
      <x:c r="K824" s="12" t="n">
        <x:v>35.56</x:v>
      </x:c>
      <x:c r="L824" s="14" t="n">
        <x:v>0</x:v>
      </x:c>
      <x:c r="M824" s="12" t="n">
        <x:f>IF(H824="Completed",I824*J824*(1-L824),0)</x:f>
        <x:v>0</x:v>
      </x:c>
      <x:c r="N824" s="12" t="n">
        <x:f>IF(H824="Completed",I824*K824,0)</x:f>
        <x:v>0</x:v>
      </x:c>
      <x:c r="O824" s="12" t="n">
        <x:f>M824-N824</x:f>
        <x:v>0</x:v>
      </x:c>
      <x:c r="P824" s="16" t="n">
        <x:f>IFERROR(O824/M824,0)</x:f>
        <x:v>0</x:v>
      </x:c>
      <x:c r="Q824" t="n">
        <x:f>YEAR(B824)</x:f>
        <x:v>2026</x:v>
      </x:c>
      <x:c r="R824" t="str">
        <x:f>TEXT(B824,"yyyy-mm")</x:f>
        <x:v>2026-04</x:v>
      </x:c>
    </x:row>
    <x:row r="825">
      <x:c r="A825" t="n">
        <x:v>10810</x:v>
      </x:c>
      <x:c r="B825" s="10" t="n">
        <x:v>46124</x:v>
      </x:c>
      <x:c r="C825" t="str">
        <x:v>P006</x:v>
      </x:c>
      <x:c r="D825" t="str">
        <x:v>Chair</x:v>
      </x:c>
      <x:c r="E825" t="str">
        <x:v>Furniture</x:v>
      </x:c>
      <x:c r="F825" t="str">
        <x:v>South</x:v>
      </x:c>
      <x:c r="G825" t="str">
        <x:v>Retail</x:v>
      </x:c>
      <x:c r="H825" t="str">
        <x:v>Completed</x:v>
      </x:c>
      <x:c r="I825" t="n">
        <x:v>4</x:v>
      </x:c>
      <x:c r="J825" s="12" t="n">
        <x:v>135.14</x:v>
      </x:c>
      <x:c r="K825" s="12" t="n">
        <x:v>68.82</x:v>
      </x:c>
      <x:c r="L825" s="14" t="n">
        <x:v>0.15</x:v>
      </x:c>
      <x:c r="M825" s="12" t="n">
        <x:f>IF(H825="Completed",I825*J825*(1-L825),0)</x:f>
        <x:v>459.47599999999994</x:v>
      </x:c>
      <x:c r="N825" s="12" t="n">
        <x:f>IF(H825="Completed",I825*K825,0)</x:f>
        <x:v>275.28</x:v>
      </x:c>
      <x:c r="O825" s="12" t="n">
        <x:f>M825-N825</x:f>
        <x:v>184.19599999999997</x:v>
      </x:c>
      <x:c r="P825" s="16" t="n">
        <x:f>IFERROR(O825/M825,0)</x:f>
        <x:v>0.4008827446917793</x:v>
      </x:c>
      <x:c r="Q825" t="n">
        <x:f>YEAR(B825)</x:f>
        <x:v>2026</x:v>
      </x:c>
      <x:c r="R825" t="str">
        <x:f>TEXT(B825,"yyyy-mm")</x:f>
        <x:v>2026-04</x:v>
      </x:c>
    </x:row>
    <x:row r="826">
      <x:c r="A826" t="n">
        <x:v>10302</x:v>
      </x:c>
      <x:c r="B826" s="10" t="n">
        <x:v>46125</x:v>
      </x:c>
      <x:c r="C826" t="str">
        <x:v>P005</x:v>
      </x:c>
      <x:c r="D826" t="str">
        <x:v>Desk</x:v>
      </x:c>
      <x:c r="E826" t="str">
        <x:v>Furniture</x:v>
      </x:c>
      <x:c r="F826" t="str">
        <x:v>South</x:v>
      </x:c>
      <x:c r="G826" t="str">
        <x:v>Online</x:v>
      </x:c>
      <x:c r="H826" t="str">
        <x:v>Completed</x:v>
      </x:c>
      <x:c r="I826" t="n">
        <x:v>1</x:v>
      </x:c>
      <x:c r="J826" s="12" t="n">
        <x:v>269</x:v>
      </x:c>
      <x:c r="K826" s="12" t="n">
        <x:v>154.79</x:v>
      </x:c>
      <x:c r="L826" s="14" t="n">
        <x:v>0</x:v>
      </x:c>
      <x:c r="M826" s="12" t="n">
        <x:f>IF(H826="Completed",I826*J826*(1-L826),0)</x:f>
        <x:v>269</x:v>
      </x:c>
      <x:c r="N826" s="12" t="n">
        <x:f>IF(H826="Completed",I826*K826,0)</x:f>
        <x:v>154.79</x:v>
      </x:c>
      <x:c r="O826" s="12" t="n">
        <x:f>M826-N826</x:f>
        <x:v>114.21000000000001</x:v>
      </x:c>
      <x:c r="P826" s="16" t="n">
        <x:f>IFERROR(O826/M826,0)</x:f>
        <x:v>0.42457249070631975</x:v>
      </x:c>
      <x:c r="Q826" t="n">
        <x:f>YEAR(B826)</x:f>
        <x:v>2026</x:v>
      </x:c>
      <x:c r="R826" t="str">
        <x:f>TEXT(B826,"yyyy-mm")</x:f>
        <x:v>2026-04</x:v>
      </x:c>
    </x:row>
    <x:row r="827">
      <x:c r="A827" t="n">
        <x:v>10761</x:v>
      </x:c>
      <x:c r="B827" s="10" t="n">
        <x:v>46126</x:v>
      </x:c>
      <x:c r="C827" t="str">
        <x:v>P002</x:v>
      </x:c>
      <x:c r="D827" t="str">
        <x:v>Monitor</x:v>
      </x:c>
      <x:c r="E827" t="str">
        <x:v>Electronics</x:v>
      </x:c>
      <x:c r="F827" t="str">
        <x:v>North</x:v>
      </x:c>
      <x:c r="G827" t="str">
        <x:v>Retail</x:v>
      </x:c>
      <x:c r="H827" t="str">
        <x:v>Completed</x:v>
      </x:c>
      <x:c r="I827" t="n">
        <x:v>2</x:v>
      </x:c>
      <x:c r="J827" s="12" t="n">
        <x:v>278.95</x:v>
      </x:c>
      <x:c r="K827" s="12" t="n">
        <x:v>167.71</x:v>
      </x:c>
      <x:c r="L827" s="14" t="n">
        <x:v>0</x:v>
      </x:c>
      <x:c r="M827" s="12" t="n">
        <x:f>IF(H827="Completed",I827*J827*(1-L827),0)</x:f>
        <x:v>557.9</x:v>
      </x:c>
      <x:c r="N827" s="12" t="n">
        <x:f>IF(H827="Completed",I827*K827,0)</x:f>
        <x:v>335.42</x:v>
      </x:c>
      <x:c r="O827" s="12" t="n">
        <x:f>M827-N827</x:f>
        <x:v>222.47999999999996</x:v>
      </x:c>
      <x:c r="P827" s="16" t="n">
        <x:f>IFERROR(O827/M827,0)</x:f>
        <x:v>0.39878114357411715</x:v>
      </x:c>
      <x:c r="Q827" t="n">
        <x:f>YEAR(B827)</x:f>
        <x:v>2026</x:v>
      </x:c>
      <x:c r="R827" t="str">
        <x:f>TEXT(B827,"yyyy-mm")</x:f>
        <x:v>2026-04</x:v>
      </x:c>
    </x:row>
    <x:row r="828">
      <x:c r="A828" t="n">
        <x:v>10854</x:v>
      </x:c>
      <x:c r="B828" s="10" t="n">
        <x:v>46128</x:v>
      </x:c>
      <x:c r="C828" t="str">
        <x:v>P008</x:v>
      </x:c>
      <x:c r="D828" t="str">
        <x:v>Webcam</x:v>
      </x:c>
      <x:c r="E828" t="str">
        <x:v>Electronics</x:v>
      </x:c>
      <x:c r="F828" t="str">
        <x:v>South</x:v>
      </x:c>
      <x:c r="G828" t="str">
        <x:v>Online</x:v>
      </x:c>
      <x:c r="H828" t="str">
        <x:v>Completed</x:v>
      </x:c>
      <x:c r="I828" t="n">
        <x:v>2</x:v>
      </x:c>
      <x:c r="J828" s="12" t="n">
        <x:v>88.3</x:v>
      </x:c>
      <x:c r="K828" s="12" t="n">
        <x:v>41.29</x:v>
      </x:c>
      <x:c r="L828" s="14" t="n">
        <x:v>0.1</x:v>
      </x:c>
      <x:c r="M828" s="12" t="n">
        <x:f>IF(H828="Completed",I828*J828*(1-L828),0)</x:f>
        <x:v>158.94</x:v>
      </x:c>
      <x:c r="N828" s="12" t="n">
        <x:f>IF(H828="Completed",I828*K828,0)</x:f>
        <x:v>82.58</x:v>
      </x:c>
      <x:c r="O828" s="12" t="n">
        <x:f>M828-N828</x:f>
        <x:v>76.36</x:v>
      </x:c>
      <x:c r="P828" s="16" t="n">
        <x:f>IFERROR(O828/M828,0)</x:f>
        <x:v>0.48043286774883603</x:v>
      </x:c>
      <x:c r="Q828" t="n">
        <x:f>YEAR(B828)</x:f>
        <x:v>2026</x:v>
      </x:c>
      <x:c r="R828" t="str">
        <x:f>TEXT(B828,"yyyy-mm")</x:f>
        <x:v>2026-04</x:v>
      </x:c>
    </x:row>
    <x:row r="829">
      <x:c r="A829" t="n">
        <x:v>10622</x:v>
      </x:c>
      <x:c r="B829" s="10" t="n">
        <x:v>46131</x:v>
      </x:c>
      <x:c r="C829" t="str">
        <x:v>P004</x:v>
      </x:c>
      <x:c r="D829" t="str">
        <x:v>Mouse</x:v>
      </x:c>
      <x:c r="E829" t="str">
        <x:v>Accessories</x:v>
      </x:c>
      <x:c r="F829" t="str">
        <x:v>North</x:v>
      </x:c>
      <x:c r="G829" t="str">
        <x:v>Online</x:v>
      </x:c>
      <x:c r="H829" t="str">
        <x:v>Completed</x:v>
      </x:c>
      <x:c r="I829" t="n">
        <x:v>1</x:v>
      </x:c>
      <x:c r="J829" s="12" t="n">
        <x:v>26.46</x:v>
      </x:c>
      <x:c r="K829" s="12" t="n">
        <x:v>12.76</x:v>
      </x:c>
      <x:c r="L829" s="14" t="n">
        <x:v>0</x:v>
      </x:c>
      <x:c r="M829" s="12" t="n">
        <x:f>IF(H829="Completed",I829*J829*(1-L829),0)</x:f>
        <x:v>26.46</x:v>
      </x:c>
      <x:c r="N829" s="12" t="n">
        <x:f>IF(H829="Completed",I829*K829,0)</x:f>
        <x:v>12.76</x:v>
      </x:c>
      <x:c r="O829" s="12" t="n">
        <x:f>M829-N829</x:f>
        <x:v>13.700000000000001</x:v>
      </x:c>
      <x:c r="P829" s="16" t="n">
        <x:f>IFERROR(O829/M829,0)</x:f>
        <x:v>0.5177626606198035</x:v>
      </x:c>
      <x:c r="Q829" t="n">
        <x:f>YEAR(B829)</x:f>
        <x:v>2026</x:v>
      </x:c>
      <x:c r="R829" t="str">
        <x:f>TEXT(B829,"yyyy-mm")</x:f>
        <x:v>2026-04</x:v>
      </x:c>
    </x:row>
    <x:row r="830">
      <x:c r="A830" t="n">
        <x:v>10766</x:v>
      </x:c>
      <x:c r="B830" s="10" t="n">
        <x:v>46131</x:v>
      </x:c>
      <x:c r="C830" t="str">
        <x:v>P001</x:v>
      </x:c>
      <x:c r="D830" t="str">
        <x:v>Laptop</x:v>
      </x:c>
      <x:c r="E830" t="str">
        <x:v>Electronics</x:v>
      </x:c>
      <x:c r="F830" t="str">
        <x:v>South</x:v>
      </x:c>
      <x:c r="G830" t="str">
        <x:v>Partner</x:v>
      </x:c>
      <x:c r="H830" t="str">
        <x:v>Completed</x:v>
      </x:c>
      <x:c r="I830" t="n">
        <x:v>2</x:v>
      </x:c>
      <x:c r="J830" s="12" t="n">
        <x:v>892.68</x:v>
      </x:c>
      <x:c r="K830" s="12" t="n">
        <x:v>630.09</x:v>
      </x:c>
      <x:c r="L830" s="14" t="n">
        <x:v>0.1</x:v>
      </x:c>
      <x:c r="M830" s="12" t="n">
        <x:f>IF(H830="Completed",I830*J830*(1-L830),0)</x:f>
        <x:v>1606.8239999999998</x:v>
      </x:c>
      <x:c r="N830" s="12" t="n">
        <x:f>IF(H830="Completed",I830*K830,0)</x:f>
        <x:v>1260.18</x:v>
      </x:c>
      <x:c r="O830" s="12" t="n">
        <x:f>M830-N830</x:f>
        <x:v>346.6439999999998</x:v>
      </x:c>
      <x:c r="P830" s="16" t="n">
        <x:f>IFERROR(O830/M830,0)</x:f>
        <x:v>0.21573240130841947</x:v>
      </x:c>
      <x:c r="Q830" t="n">
        <x:f>YEAR(B830)</x:f>
        <x:v>2026</x:v>
      </x:c>
      <x:c r="R830" t="str">
        <x:f>TEXT(B830,"yyyy-mm")</x:f>
        <x:v>2026-04</x:v>
      </x:c>
    </x:row>
    <x:row r="831">
      <x:c r="A831" t="n">
        <x:v>10698</x:v>
      </x:c>
      <x:c r="B831" s="10" t="n">
        <x:v>46132</x:v>
      </x:c>
      <x:c r="C831" t="str">
        <x:v>P002</x:v>
      </x:c>
      <x:c r="D831" t="str">
        <x:v>Monitor</x:v>
      </x:c>
      <x:c r="E831" t="str">
        <x:v>Electronics</x:v>
      </x:c>
      <x:c r="F831" t="str">
        <x:v>South</x:v>
      </x:c>
      <x:c r="G831" t="str">
        <x:v>Retail</x:v>
      </x:c>
      <x:c r="H831" t="str">
        <x:v>Completed</x:v>
      </x:c>
      <x:c r="I831" t="n">
        <x:v>4</x:v>
      </x:c>
      <x:c r="J831" s="12" t="n">
        <x:v>278.73</x:v>
      </x:c>
      <x:c r="K831" s="12" t="n">
        <x:v>171.66</x:v>
      </x:c>
      <x:c r="L831" s="14" t="n">
        <x:v>0</x:v>
      </x:c>
      <x:c r="M831" s="12" t="n">
        <x:f>IF(H831="Completed",I831*J831*(1-L831),0)</x:f>
        <x:v>1114.92</x:v>
      </x:c>
      <x:c r="N831" s="12" t="n">
        <x:f>IF(H831="Completed",I831*K831,0)</x:f>
        <x:v>686.64</x:v>
      </x:c>
      <x:c r="O831" s="12" t="n">
        <x:f>M831-N831</x:f>
        <x:v>428.2800000000001</x:v>
      </x:c>
      <x:c r="P831" s="16" t="n">
        <x:f>IFERROR(O831/M831,0)</x:f>
        <x:v>0.384135184587235</x:v>
      </x:c>
      <x:c r="Q831" t="n">
        <x:f>YEAR(B831)</x:f>
        <x:v>2026</x:v>
      </x:c>
      <x:c r="R831" t="str">
        <x:f>TEXT(B831,"yyyy-mm")</x:f>
        <x:v>2026-04</x:v>
      </x:c>
    </x:row>
    <x:row r="832">
      <x:c r="A832" t="n">
        <x:v>10375</x:v>
      </x:c>
      <x:c r="B832" s="10" t="n">
        <x:v>46133</x:v>
      </x:c>
      <x:c r="C832" t="str">
        <x:v>P006</x:v>
      </x:c>
      <x:c r="D832" t="str">
        <x:v>Chair</x:v>
      </x:c>
      <x:c r="E832" t="str">
        <x:v>Furniture</x:v>
      </x:c>
      <x:c r="F832" t="str">
        <x:v>North</x:v>
      </x:c>
      <x:c r="G832" t="str">
        <x:v>Online</x:v>
      </x:c>
      <x:c r="H832" t="str">
        <x:v>Completed</x:v>
      </x:c>
      <x:c r="I832" t="n">
        <x:v>4</x:v>
      </x:c>
      <x:c r="J832" s="12" t="n">
        <x:v>133.38</x:v>
      </x:c>
      <x:c r="K832" s="12" t="n">
        <x:v>67.01</x:v>
      </x:c>
      <x:c r="L832" s="14" t="n">
        <x:v>0</x:v>
      </x:c>
      <x:c r="M832" s="12" t="n">
        <x:f>IF(H832="Completed",I832*J832*(1-L832),0)</x:f>
        <x:v>533.52</x:v>
      </x:c>
      <x:c r="N832" s="12" t="n">
        <x:f>IF(H832="Completed",I832*K832,0)</x:f>
        <x:v>268.04</x:v>
      </x:c>
      <x:c r="O832" s="12" t="n">
        <x:f>M832-N832</x:f>
        <x:v>265.47999999999996</x:v>
      </x:c>
      <x:c r="P832" s="16" t="n">
        <x:f>IFERROR(O832/M832,0)</x:f>
        <x:v>0.4976008397061028</x:v>
      </x:c>
      <x:c r="Q832" t="n">
        <x:f>YEAR(B832)</x:f>
        <x:v>2026</x:v>
      </x:c>
      <x:c r="R832" t="str">
        <x:f>TEXT(B832,"yyyy-mm")</x:f>
        <x:v>2026-04</x:v>
      </x:c>
    </x:row>
    <x:row r="833">
      <x:c r="A833" t="n">
        <x:v>10796</x:v>
      </x:c>
      <x:c r="B833" s="10" t="n">
        <x:v>46135</x:v>
      </x:c>
      <x:c r="C833" t="str">
        <x:v>P005</x:v>
      </x:c>
      <x:c r="D833" t="str">
        <x:v>Desk</x:v>
      </x:c>
      <x:c r="E833" t="str">
        <x:v>Furniture</x:v>
      </x:c>
      <x:c r="F833" t="str">
        <x:v>Midlands</x:v>
      </x:c>
      <x:c r="G833" t="str">
        <x:v>Retail</x:v>
      </x:c>
      <x:c r="H833" t="str">
        <x:v>Completed</x:v>
      </x:c>
      <x:c r="I833" t="n">
        <x:v>2</x:v>
      </x:c>
      <x:c r="J833" s="12" t="n">
        <x:v>268.94</x:v>
      </x:c>
      <x:c r="K833" s="12" t="n">
        <x:v>153.39</x:v>
      </x:c>
      <x:c r="L833" s="14" t="n">
        <x:v>0</x:v>
      </x:c>
      <x:c r="M833" s="12" t="n">
        <x:f>IF(H833="Completed",I833*J833*(1-L833),0)</x:f>
        <x:v>537.88</x:v>
      </x:c>
      <x:c r="N833" s="12" t="n">
        <x:f>IF(H833="Completed",I833*K833,0)</x:f>
        <x:v>306.78</x:v>
      </x:c>
      <x:c r="O833" s="12" t="n">
        <x:f>M833-N833</x:f>
        <x:v>231.10000000000002</x:v>
      </x:c>
      <x:c r="P833" s="16" t="n">
        <x:f>IFERROR(O833/M833,0)</x:f>
        <x:v>0.429649736000595</x:v>
      </x:c>
      <x:c r="Q833" t="n">
        <x:f>YEAR(B833)</x:f>
        <x:v>2026</x:v>
      </x:c>
      <x:c r="R833" t="str">
        <x:f>TEXT(B833,"yyyy-mm")</x:f>
        <x:v>2026-04</x:v>
      </x:c>
    </x:row>
    <x:row r="834">
      <x:c r="A834" t="n">
        <x:v>10610</x:v>
      </x:c>
      <x:c r="B834" s="10" t="n">
        <x:v>46136</x:v>
      </x:c>
      <x:c r="C834" t="str">
        <x:v>P007</x:v>
      </x:c>
      <x:c r="D834" t="str">
        <x:v>Headset</x:v>
      </x:c>
      <x:c r="E834" t="str">
        <x:v>Accessories</x:v>
      </x:c>
      <x:c r="F834" t="str">
        <x:v>Midlands</x:v>
      </x:c>
      <x:c r="G834" t="str">
        <x:v>Partner</x:v>
      </x:c>
      <x:c r="H834" t="str">
        <x:v>Cancelled</x:v>
      </x:c>
      <x:c r="I834" t="n">
        <x:v>3</x:v>
      </x:c>
      <x:c r="J834" s="12" t="n">
        <x:v>72.54</x:v>
      </x:c>
      <x:c r="K834" s="12" t="n">
        <x:v>35.42</x:v>
      </x:c>
      <x:c r="L834" s="14" t="n">
        <x:v>0.1</x:v>
      </x:c>
      <x:c r="M834" s="12" t="n">
        <x:f>IF(H834="Completed",I834*J834*(1-L834),0)</x:f>
        <x:v>0</x:v>
      </x:c>
      <x:c r="N834" s="12" t="n">
        <x:f>IF(H834="Completed",I834*K834,0)</x:f>
        <x:v>0</x:v>
      </x:c>
      <x:c r="O834" s="12" t="n">
        <x:f>M834-N834</x:f>
        <x:v>0</x:v>
      </x:c>
      <x:c r="P834" s="16" t="n">
        <x:f>IFERROR(O834/M834,0)</x:f>
        <x:v>0</x:v>
      </x:c>
      <x:c r="Q834" t="n">
        <x:f>YEAR(B834)</x:f>
        <x:v>2026</x:v>
      </x:c>
      <x:c r="R834" t="str">
        <x:f>TEXT(B834,"yyyy-mm")</x:f>
        <x:v>2026-04</x:v>
      </x:c>
    </x:row>
    <x:row r="835">
      <x:c r="A835" t="n">
        <x:v>10817</x:v>
      </x:c>
      <x:c r="B835" s="10" t="n">
        <x:v>46139</x:v>
      </x:c>
      <x:c r="C835" t="str">
        <x:v>P008</x:v>
      </x:c>
      <x:c r="D835" t="str">
        <x:v>Webcam</x:v>
      </x:c>
      <x:c r="E835" t="str">
        <x:v>Electronics</x:v>
      </x:c>
      <x:c r="F835" t="str">
        <x:v>North</x:v>
      </x:c>
      <x:c r="G835" t="str">
        <x:v>Online</x:v>
      </x:c>
      <x:c r="H835" t="str">
        <x:v>Completed</x:v>
      </x:c>
      <x:c r="I835" t="n">
        <x:v>1</x:v>
      </x:c>
      <x:c r="J835" s="12" t="n">
        <x:v>90.98</x:v>
      </x:c>
      <x:c r="K835" s="12" t="n">
        <x:v>41.96</x:v>
      </x:c>
      <x:c r="L835" s="14" t="n">
        <x:v>0</x:v>
      </x:c>
      <x:c r="M835" s="12" t="n">
        <x:f>IF(H835="Completed",I835*J835*(1-L835),0)</x:f>
        <x:v>90.98</x:v>
      </x:c>
      <x:c r="N835" s="12" t="n">
        <x:f>IF(H835="Completed",I835*K835,0)</x:f>
        <x:v>41.96</x:v>
      </x:c>
      <x:c r="O835" s="12" t="n">
        <x:f>M835-N835</x:f>
        <x:v>49.02</x:v>
      </x:c>
      <x:c r="P835" s="16" t="n">
        <x:f>IFERROR(O835/M835,0)</x:f>
        <x:v>0.5387997362057595</x:v>
      </x:c>
      <x:c r="Q835" t="n">
        <x:f>YEAR(B835)</x:f>
        <x:v>2026</x:v>
      </x:c>
      <x:c r="R835" t="str">
        <x:f>TEXT(B835,"yyyy-mm")</x:f>
        <x:v>2026-04</x:v>
      </x:c>
    </x:row>
    <x:row r="836">
      <x:c r="A836" t="n">
        <x:v>10549</x:v>
      </x:c>
      <x:c r="B836" s="10" t="n">
        <x:v>46140</x:v>
      </x:c>
      <x:c r="C836" t="str">
        <x:v>P007</x:v>
      </x:c>
      <x:c r="D836" t="str">
        <x:v>Headset</x:v>
      </x:c>
      <x:c r="E836" t="str">
        <x:v>Accessories</x:v>
      </x:c>
      <x:c r="F836" t="str">
        <x:v>Midlands</x:v>
      </x:c>
      <x:c r="G836" t="str">
        <x:v>Online</x:v>
      </x:c>
      <x:c r="H836" t="str">
        <x:v>Completed</x:v>
      </x:c>
      <x:c r="I836" t="n">
        <x:v>2</x:v>
      </x:c>
      <x:c r="J836" s="12" t="n">
        <x:v>73.69</x:v>
      </x:c>
      <x:c r="K836" s="12" t="n">
        <x:v>35.89</x:v>
      </x:c>
      <x:c r="L836" s="14" t="n">
        <x:v>0.1</x:v>
      </x:c>
      <x:c r="M836" s="12" t="n">
        <x:f>IF(H836="Completed",I836*J836*(1-L836),0)</x:f>
        <x:v>132.642</x:v>
      </x:c>
      <x:c r="N836" s="12" t="n">
        <x:f>IF(H836="Completed",I836*K836,0)</x:f>
        <x:v>71.78</x:v>
      </x:c>
      <x:c r="O836" s="12" t="n">
        <x:f>M836-N836</x:f>
        <x:v>60.861999999999995</x:v>
      </x:c>
      <x:c r="P836" s="16" t="n">
        <x:f>IFERROR(O836/M836,0)</x:f>
        <x:v>0.45884410669320425</x:v>
      </x:c>
      <x:c r="Q836" t="n">
        <x:f>YEAR(B836)</x:f>
        <x:v>2026</x:v>
      </x:c>
      <x:c r="R836" t="str">
        <x:f>TEXT(B836,"yyyy-mm")</x:f>
        <x:v>2026-04</x:v>
      </x:c>
    </x:row>
    <x:row r="837">
      <x:c r="A837" t="n">
        <x:v>10880</x:v>
      </x:c>
      <x:c r="B837" s="10" t="n">
        <x:v>46140</x:v>
      </x:c>
      <x:c r="C837" t="str">
        <x:v>P007</x:v>
      </x:c>
      <x:c r="D837" t="str">
        <x:v>Headset</x:v>
      </x:c>
      <x:c r="E837" t="str">
        <x:v>Accessories</x:v>
      </x:c>
      <x:c r="F837" t="str">
        <x:v>North</x:v>
      </x:c>
      <x:c r="G837" t="str">
        <x:v>Online</x:v>
      </x:c>
      <x:c r="H837" t="str">
        <x:v>Completed</x:v>
      </x:c>
      <x:c r="I837" t="n">
        <x:v>1</x:v>
      </x:c>
      <x:c r="J837" s="12" t="n">
        <x:v>70.92</x:v>
      </x:c>
      <x:c r="K837" s="12" t="n">
        <x:v>34.44</x:v>
      </x:c>
      <x:c r="L837" s="14" t="n">
        <x:v>0.05</x:v>
      </x:c>
      <x:c r="M837" s="12" t="n">
        <x:f>IF(H837="Completed",I837*J837*(1-L837),0)</x:f>
        <x:v>67.374</x:v>
      </x:c>
      <x:c r="N837" s="12" t="n">
        <x:f>IF(H837="Completed",I837*K837,0)</x:f>
        <x:v>34.44</x:v>
      </x:c>
      <x:c r="O837" s="12" t="n">
        <x:f>M837-N837</x:f>
        <x:v>32.934</x:v>
      </x:c>
      <x:c r="P837" s="16" t="n">
        <x:f>IFERROR(O837/M837,0)</x:f>
        <x:v>0.4888235817971324</x:v>
      </x:c>
      <x:c r="Q837" t="n">
        <x:f>YEAR(B837)</x:f>
        <x:v>2026</x:v>
      </x:c>
      <x:c r="R837" t="str">
        <x:f>TEXT(B837,"yyyy-mm")</x:f>
        <x:v>2026-04</x:v>
      </x:c>
    </x:row>
    <x:row r="838">
      <x:c r="A838" t="n">
        <x:v>10614</x:v>
      </x:c>
      <x:c r="B838" s="10" t="n">
        <x:v>46141</x:v>
      </x:c>
      <x:c r="C838" t="str">
        <x:v>P008</x:v>
      </x:c>
      <x:c r="D838" t="str">
        <x:v>Webcam</x:v>
      </x:c>
      <x:c r="E838" t="str">
        <x:v>Electronics</x:v>
      </x:c>
      <x:c r="F838" t="str">
        <x:v>South</x:v>
      </x:c>
      <x:c r="G838" t="str">
        <x:v>Online</x:v>
      </x:c>
      <x:c r="H838" t="str">
        <x:v>Cancelled</x:v>
      </x:c>
      <x:c r="I838" t="n">
        <x:v>1</x:v>
      </x:c>
      <x:c r="J838" s="12" t="n">
        <x:v>89.73</x:v>
      </x:c>
      <x:c r="K838" s="12" t="n">
        <x:v>41.99</x:v>
      </x:c>
      <x:c r="L838" s="14" t="n">
        <x:v>0.15</x:v>
      </x:c>
      <x:c r="M838" s="12" t="n">
        <x:f>IF(H838="Completed",I838*J838*(1-L838),0)</x:f>
        <x:v>0</x:v>
      </x:c>
      <x:c r="N838" s="12" t="n">
        <x:f>IF(H838="Completed",I838*K838,0)</x:f>
        <x:v>0</x:v>
      </x:c>
      <x:c r="O838" s="12" t="n">
        <x:f>M838-N838</x:f>
        <x:v>0</x:v>
      </x:c>
      <x:c r="P838" s="16" t="n">
        <x:f>IFERROR(O838/M838,0)</x:f>
        <x:v>0</x:v>
      </x:c>
      <x:c r="Q838" t="n">
        <x:f>YEAR(B838)</x:f>
        <x:v>2026</x:v>
      </x:c>
      <x:c r="R838" t="str">
        <x:f>TEXT(B838,"yyyy-mm")</x:f>
        <x:v>2026-04</x:v>
      </x:c>
    </x:row>
    <x:row r="839">
      <x:c r="A839" t="n">
        <x:v>10893</x:v>
      </x:c>
      <x:c r="B839" s="10" t="n">
        <x:v>46141</x:v>
      </x:c>
      <x:c r="C839" t="str">
        <x:v>P008</x:v>
      </x:c>
      <x:c r="D839" t="str">
        <x:v>Webcam</x:v>
      </x:c>
      <x:c r="E839" t="str">
        <x:v>Electronics</x:v>
      </x:c>
      <x:c r="F839" t="str">
        <x:v>Scotland</x:v>
      </x:c>
      <x:c r="G839" t="str">
        <x:v>Retail</x:v>
      </x:c>
      <x:c r="H839" t="str">
        <x:v>Completed</x:v>
      </x:c>
      <x:c r="I839" t="n">
        <x:v>1</x:v>
      </x:c>
      <x:c r="J839" s="12" t="n">
        <x:v>86.61</x:v>
      </x:c>
      <x:c r="K839" s="12" t="n">
        <x:v>42.97</x:v>
      </x:c>
      <x:c r="L839" s="14" t="n">
        <x:v>0.1</x:v>
      </x:c>
      <x:c r="M839" s="12" t="n">
        <x:f>IF(H839="Completed",I839*J839*(1-L839),0)</x:f>
        <x:v>77.949</x:v>
      </x:c>
      <x:c r="N839" s="12" t="n">
        <x:f>IF(H839="Completed",I839*K839,0)</x:f>
        <x:v>42.97</x:v>
      </x:c>
      <x:c r="O839" s="12" t="n">
        <x:f>M839-N839</x:f>
        <x:v>34.979</x:v>
      </x:c>
      <x:c r="P839" s="16" t="n">
        <x:f>IFERROR(O839/M839,0)</x:f>
        <x:v>0.44874212626204313</x:v>
      </x:c>
      <x:c r="Q839" t="n">
        <x:f>YEAR(B839)</x:f>
        <x:v>2026</x:v>
      </x:c>
      <x:c r="R839" t="str">
        <x:f>TEXT(B839,"yyyy-mm")</x:f>
        <x:v>2026-04</x:v>
      </x:c>
    </x:row>
    <x:row r="840">
      <x:c r="A840" t="n">
        <x:v>10138</x:v>
      </x:c>
      <x:c r="B840" s="10" t="n">
        <x:v>46143</x:v>
      </x:c>
      <x:c r="C840" t="str">
        <x:v>P002</x:v>
      </x:c>
      <x:c r="D840" t="str">
        <x:v>Monitor</x:v>
      </x:c>
      <x:c r="E840" t="str">
        <x:v>Electronics</x:v>
      </x:c>
      <x:c r="F840" t="str">
        <x:v>Midlands</x:v>
      </x:c>
      <x:c r="G840" t="str">
        <x:v>Retail</x:v>
      </x:c>
      <x:c r="H840" t="str">
        <x:v>Completed</x:v>
      </x:c>
      <x:c r="I840" t="n">
        <x:v>1</x:v>
      </x:c>
      <x:c r="J840" s="12" t="n">
        <x:v>287.55</x:v>
      </x:c>
      <x:c r="K840" s="12" t="n">
        <x:v>171.58</x:v>
      </x:c>
      <x:c r="L840" s="14" t="n">
        <x:v>0</x:v>
      </x:c>
      <x:c r="M840" s="12" t="n">
        <x:f>IF(H840="Completed",I840*J840*(1-L840),0)</x:f>
        <x:v>287.55</x:v>
      </x:c>
      <x:c r="N840" s="12" t="n">
        <x:f>IF(H840="Completed",I840*K840,0)</x:f>
        <x:v>171.58</x:v>
      </x:c>
      <x:c r="O840" s="12" t="n">
        <x:f>M840-N840</x:f>
        <x:v>115.97</x:v>
      </x:c>
      <x:c r="P840" s="16" t="n">
        <x:f>IFERROR(O840/M840,0)</x:f>
        <x:v>0.40330377325682487</x:v>
      </x:c>
      <x:c r="Q840" t="n">
        <x:f>YEAR(B840)</x:f>
        <x:v>2026</x:v>
      </x:c>
      <x:c r="R840" t="str">
        <x:f>TEXT(B840,"yyyy-mm")</x:f>
        <x:v>2026-05</x:v>
      </x:c>
    </x:row>
    <x:row r="841">
      <x:c r="A841" t="n">
        <x:v>10081</x:v>
      </x:c>
      <x:c r="B841" s="10" t="n">
        <x:v>46144</x:v>
      </x:c>
      <x:c r="C841" t="str">
        <x:v>P004</x:v>
      </x:c>
      <x:c r="D841" t="str">
        <x:v>Mouse</x:v>
      </x:c>
      <x:c r="E841" t="str">
        <x:v>Accessories</x:v>
      </x:c>
      <x:c r="F841" t="str">
        <x:v>North</x:v>
      </x:c>
      <x:c r="G841" t="str">
        <x:v>Online</x:v>
      </x:c>
      <x:c r="H841" t="str">
        <x:v>Completed</x:v>
      </x:c>
      <x:c r="I841" t="n">
        <x:v>3</x:v>
      </x:c>
      <x:c r="J841" s="12" t="n">
        <x:v>27.2</x:v>
      </x:c>
      <x:c r="K841" s="12" t="n">
        <x:v>12.92</x:v>
      </x:c>
      <x:c r="L841" s="14" t="n">
        <x:v>0.15</x:v>
      </x:c>
      <x:c r="M841" s="12" t="n">
        <x:f>IF(H841="Completed",I841*J841*(1-L841),0)</x:f>
        <x:v>69.36</x:v>
      </x:c>
      <x:c r="N841" s="12" t="n">
        <x:f>IF(H841="Completed",I841*K841,0)</x:f>
        <x:v>38.76</x:v>
      </x:c>
      <x:c r="O841" s="12" t="n">
        <x:f>M841-N841</x:f>
        <x:v>30.6</x:v>
      </x:c>
      <x:c r="P841" s="16" t="n">
        <x:f>IFERROR(O841/M841,0)</x:f>
        <x:v>0.44117647058823534</x:v>
      </x:c>
      <x:c r="Q841" t="n">
        <x:f>YEAR(B841)</x:f>
        <x:v>2026</x:v>
      </x:c>
      <x:c r="R841" t="str">
        <x:f>TEXT(B841,"yyyy-mm")</x:f>
        <x:v>2026-05</x:v>
      </x:c>
    </x:row>
    <x:row r="842">
      <x:c r="A842" t="n">
        <x:v>10802</x:v>
      </x:c>
      <x:c r="B842" s="10" t="n">
        <x:v>46144</x:v>
      </x:c>
      <x:c r="C842" t="str">
        <x:v>P007</x:v>
      </x:c>
      <x:c r="D842" t="str">
        <x:v>Headset</x:v>
      </x:c>
      <x:c r="E842" t="str">
        <x:v>Accessories</x:v>
      </x:c>
      <x:c r="F842" t="str">
        <x:v>Wales</x:v>
      </x:c>
      <x:c r="G842" t="str">
        <x:v>Online</x:v>
      </x:c>
      <x:c r="H842" t="str">
        <x:v>Completed</x:v>
      </x:c>
      <x:c r="I842" t="n">
        <x:v>2</x:v>
      </x:c>
      <x:c r="J842" s="12" t="n">
        <x:v>70.92</x:v>
      </x:c>
      <x:c r="K842" s="12" t="n">
        <x:v>34.78</x:v>
      </x:c>
      <x:c r="L842" s="14" t="n">
        <x:v>0</x:v>
      </x:c>
      <x:c r="M842" s="12" t="n">
        <x:f>IF(H842="Completed",I842*J842*(1-L842),0)</x:f>
        <x:v>141.84</x:v>
      </x:c>
      <x:c r="N842" s="12" t="n">
        <x:f>IF(H842="Completed",I842*K842,0)</x:f>
        <x:v>69.56</x:v>
      </x:c>
      <x:c r="O842" s="12" t="n">
        <x:f>M842-N842</x:f>
        <x:v>72.28</x:v>
      </x:c>
      <x:c r="P842" s="16" t="n">
        <x:f>IFERROR(O842/M842,0)</x:f>
        <x:v>0.5095882684715172</x:v>
      </x:c>
      <x:c r="Q842" t="n">
        <x:f>YEAR(B842)</x:f>
        <x:v>2026</x:v>
      </x:c>
      <x:c r="R842" t="str">
        <x:f>TEXT(B842,"yyyy-mm")</x:f>
        <x:v>2026-05</x:v>
      </x:c>
    </x:row>
    <x:row r="843">
      <x:c r="A843" t="n">
        <x:v>10149</x:v>
      </x:c>
      <x:c r="B843" s="10" t="n">
        <x:v>46145</x:v>
      </x:c>
      <x:c r="C843" t="str">
        <x:v>P006</x:v>
      </x:c>
      <x:c r="D843" t="str">
        <x:v>Chair</x:v>
      </x:c>
      <x:c r="E843" t="str">
        <x:v>Furniture</x:v>
      </x:c>
      <x:c r="F843" t="str">
        <x:v>Midlands</x:v>
      </x:c>
      <x:c r="G843" t="str">
        <x:v>Retail</x:v>
      </x:c>
      <x:c r="H843" t="str">
        <x:v>Completed</x:v>
      </x:c>
      <x:c r="I843" t="n">
        <x:v>1</x:v>
      </x:c>
      <x:c r="J843" s="12" t="n">
        <x:v>135.29</x:v>
      </x:c>
      <x:c r="K843" s="12" t="n">
        <x:v>66.9</x:v>
      </x:c>
      <x:c r="L843" s="14" t="n">
        <x:v>0</x:v>
      </x:c>
      <x:c r="M843" s="12" t="n">
        <x:f>IF(H843="Completed",I843*J843*(1-L843),0)</x:f>
        <x:v>135.29</x:v>
      </x:c>
      <x:c r="N843" s="12" t="n">
        <x:f>IF(H843="Completed",I843*K843,0)</x:f>
        <x:v>66.9</x:v>
      </x:c>
      <x:c r="O843" s="12" t="n">
        <x:f>M843-N843</x:f>
        <x:v>68.38999999999999</x:v>
      </x:c>
      <x:c r="P843" s="16" t="n">
        <x:f>IFERROR(O843/M843,0)</x:f>
        <x:v>0.5055066893340231</x:v>
      </x:c>
      <x:c r="Q843" t="n">
        <x:f>YEAR(B843)</x:f>
        <x:v>2026</x:v>
      </x:c>
      <x:c r="R843" t="str">
        <x:f>TEXT(B843,"yyyy-mm")</x:f>
        <x:v>2026-05</x:v>
      </x:c>
    </x:row>
    <x:row r="844">
      <x:c r="A844" t="n">
        <x:v>10247</x:v>
      </x:c>
      <x:c r="B844" s="10" t="n">
        <x:v>46146</x:v>
      </x:c>
      <x:c r="C844" t="str">
        <x:v>P001</x:v>
      </x:c>
      <x:c r="D844" t="str">
        <x:v>Laptop</x:v>
      </x:c>
      <x:c r="E844" t="str">
        <x:v>Electronics</x:v>
      </x:c>
      <x:c r="F844" t="str">
        <x:v>Wales</x:v>
      </x:c>
      <x:c r="G844" t="str">
        <x:v>Online</x:v>
      </x:c>
      <x:c r="H844" t="str">
        <x:v>Cancelled</x:v>
      </x:c>
      <x:c r="I844" t="n">
        <x:v>1</x:v>
      </x:c>
      <x:c r="J844" s="12" t="n">
        <x:v>926.66</x:v>
      </x:c>
      <x:c r="K844" s="12" t="n">
        <x:v>633.12</x:v>
      </x:c>
      <x:c r="L844" s="14" t="n">
        <x:v>0.05</x:v>
      </x:c>
      <x:c r="M844" s="12" t="n">
        <x:f>IF(H844="Completed",I844*J844*(1-L844),0)</x:f>
        <x:v>0</x:v>
      </x:c>
      <x:c r="N844" s="12" t="n">
        <x:f>IF(H844="Completed",I844*K844,0)</x:f>
        <x:v>0</x:v>
      </x:c>
      <x:c r="O844" s="12" t="n">
        <x:f>M844-N844</x:f>
        <x:v>0</x:v>
      </x:c>
      <x:c r="P844" s="16" t="n">
        <x:f>IFERROR(O844/M844,0)</x:f>
        <x:v>0</x:v>
      </x:c>
      <x:c r="Q844" t="n">
        <x:f>YEAR(B844)</x:f>
        <x:v>2026</x:v>
      </x:c>
      <x:c r="R844" t="str">
        <x:f>TEXT(B844,"yyyy-mm")</x:f>
        <x:v>2026-05</x:v>
      </x:c>
    </x:row>
    <x:row r="845">
      <x:c r="A845" t="n">
        <x:v>10477</x:v>
      </x:c>
      <x:c r="B845" s="10" t="n">
        <x:v>46146</x:v>
      </x:c>
      <x:c r="C845" t="str">
        <x:v>P005</x:v>
      </x:c>
      <x:c r="D845" t="str">
        <x:v>Desk</x:v>
      </x:c>
      <x:c r="E845" t="str">
        <x:v>Furniture</x:v>
      </x:c>
      <x:c r="F845" t="str">
        <x:v>North</x:v>
      </x:c>
      <x:c r="G845" t="str">
        <x:v>Retail</x:v>
      </x:c>
      <x:c r="H845" t="str">
        <x:v>Cancelled</x:v>
      </x:c>
      <x:c r="I845" t="n">
        <x:v>2</x:v>
      </x:c>
      <x:c r="J845" s="12" t="n">
        <x:v>283.14</x:v>
      </x:c>
      <x:c r="K845" s="12" t="n">
        <x:v>159.13</x:v>
      </x:c>
      <x:c r="L845" s="14" t="n">
        <x:v>0</x:v>
      </x:c>
      <x:c r="M845" s="12" t="n">
        <x:f>IF(H845="Completed",I845*J845*(1-L845),0)</x:f>
        <x:v>0</x:v>
      </x:c>
      <x:c r="N845" s="12" t="n">
        <x:f>IF(H845="Completed",I845*K845,0)</x:f>
        <x:v>0</x:v>
      </x:c>
      <x:c r="O845" s="12" t="n">
        <x:f>M845-N845</x:f>
        <x:v>0</x:v>
      </x:c>
      <x:c r="P845" s="16" t="n">
        <x:f>IFERROR(O845/M845,0)</x:f>
        <x:v>0</x:v>
      </x:c>
      <x:c r="Q845" t="n">
        <x:f>YEAR(B845)</x:f>
        <x:v>2026</x:v>
      </x:c>
      <x:c r="R845" t="str">
        <x:f>TEXT(B845,"yyyy-mm")</x:f>
        <x:v>2026-05</x:v>
      </x:c>
    </x:row>
    <x:row r="846">
      <x:c r="A846" t="n">
        <x:v>10572</x:v>
      </x:c>
      <x:c r="B846" s="10" t="n">
        <x:v>46146</x:v>
      </x:c>
      <x:c r="C846" t="str">
        <x:v>P005</x:v>
      </x:c>
      <x:c r="D846" t="str">
        <x:v>Desk</x:v>
      </x:c>
      <x:c r="E846" t="str">
        <x:v>Furniture</x:v>
      </x:c>
      <x:c r="F846" t="str">
        <x:v>Wales</x:v>
      </x:c>
      <x:c r="G846" t="str">
        <x:v>Partner</x:v>
      </x:c>
      <x:c r="H846" t="str">
        <x:v>Completed</x:v>
      </x:c>
      <x:c r="I846" t="n">
        <x:v>1</x:v>
      </x:c>
      <x:c r="J846" s="12" t="n">
        <x:v>280.71</x:v>
      </x:c>
      <x:c r="K846" s="12" t="n">
        <x:v>156.02</x:v>
      </x:c>
      <x:c r="L846" s="14" t="n">
        <x:v>0</x:v>
      </x:c>
      <x:c r="M846" s="12" t="n">
        <x:f>IF(H846="Completed",I846*J846*(1-L846),0)</x:f>
        <x:v>280.71</x:v>
      </x:c>
      <x:c r="N846" s="12" t="n">
        <x:f>IF(H846="Completed",I846*K846,0)</x:f>
        <x:v>156.02</x:v>
      </x:c>
      <x:c r="O846" s="12" t="n">
        <x:f>M846-N846</x:f>
        <x:v>124.68999999999997</x:v>
      </x:c>
      <x:c r="P846" s="16" t="n">
        <x:f>IFERROR(O846/M846,0)</x:f>
        <x:v>0.44419507676961983</x:v>
      </x:c>
      <x:c r="Q846" t="n">
        <x:f>YEAR(B846)</x:f>
        <x:v>2026</x:v>
      </x:c>
      <x:c r="R846" t="str">
        <x:f>TEXT(B846,"yyyy-mm")</x:f>
        <x:v>2026-05</x:v>
      </x:c>
    </x:row>
    <x:row r="847">
      <x:c r="A847" t="n">
        <x:v>10433</x:v>
      </x:c>
      <x:c r="B847" s="10" t="n">
        <x:v>46147</x:v>
      </x:c>
      <x:c r="C847" t="str">
        <x:v>P007</x:v>
      </x:c>
      <x:c r="D847" t="str">
        <x:v>Headset</x:v>
      </x:c>
      <x:c r="E847" t="str">
        <x:v>Accessories</x:v>
      </x:c>
      <x:c r="F847" t="str">
        <x:v>Scotland</x:v>
      </x:c>
      <x:c r="G847" t="str">
        <x:v>Retail</x:v>
      </x:c>
      <x:c r="H847" t="str">
        <x:v>Completed</x:v>
      </x:c>
      <x:c r="I847" t="n">
        <x:v>4</x:v>
      </x:c>
      <x:c r="J847" s="12" t="n">
        <x:v>70.51</x:v>
      </x:c>
      <x:c r="K847" s="12" t="n">
        <x:v>35.57</x:v>
      </x:c>
      <x:c r="L847" s="14" t="n">
        <x:v>0</x:v>
      </x:c>
      <x:c r="M847" s="12" t="n">
        <x:f>IF(H847="Completed",I847*J847*(1-L847),0)</x:f>
        <x:v>282.04</x:v>
      </x:c>
      <x:c r="N847" s="12" t="n">
        <x:f>IF(H847="Completed",I847*K847,0)</x:f>
        <x:v>142.28</x:v>
      </x:c>
      <x:c r="O847" s="12" t="n">
        <x:f>M847-N847</x:f>
        <x:v>139.76000000000002</x:v>
      </x:c>
      <x:c r="P847" s="16" t="n">
        <x:f>IFERROR(O847/M847,0)</x:f>
        <x:v>0.4955325485746703</x:v>
      </x:c>
      <x:c r="Q847" t="n">
        <x:f>YEAR(B847)</x:f>
        <x:v>2026</x:v>
      </x:c>
      <x:c r="R847" t="str">
        <x:f>TEXT(B847,"yyyy-mm")</x:f>
        <x:v>2026-05</x:v>
      </x:c>
    </x:row>
    <x:row r="848">
      <x:c r="A848" t="n">
        <x:v>10568</x:v>
      </x:c>
      <x:c r="B848" s="10" t="n">
        <x:v>46147</x:v>
      </x:c>
      <x:c r="C848" t="str">
        <x:v>P003</x:v>
      </x:c>
      <x:c r="D848" t="str">
        <x:v>Keyboard</x:v>
      </x:c>
      <x:c r="E848" t="str">
        <x:v>Accessories</x:v>
      </x:c>
      <x:c r="F848" t="str">
        <x:v>Scotland</x:v>
      </x:c>
      <x:c r="G848" t="str">
        <x:v>Online</x:v>
      </x:c>
      <x:c r="H848" t="str">
        <x:v>Completed</x:v>
      </x:c>
      <x:c r="I848" t="n">
        <x:v>2</x:v>
      </x:c>
      <x:c r="J848" s="12" t="n">
        <x:v>47.87</x:v>
      </x:c>
      <x:c r="K848" s="12" t="n">
        <x:v>26.22</x:v>
      </x:c>
      <x:c r="L848" s="14" t="n">
        <x:v>0</x:v>
      </x:c>
      <x:c r="M848" s="12" t="n">
        <x:f>IF(H848="Completed",I848*J848*(1-L848),0)</x:f>
        <x:v>95.74</x:v>
      </x:c>
      <x:c r="N848" s="12" t="n">
        <x:f>IF(H848="Completed",I848*K848,0)</x:f>
        <x:v>52.44</x:v>
      </x:c>
      <x:c r="O848" s="12" t="n">
        <x:f>M848-N848</x:f>
        <x:v>43.3</x:v>
      </x:c>
      <x:c r="P848" s="16" t="n">
        <x:f>IFERROR(O848/M848,0)</x:f>
        <x:v>0.45226655525381243</x:v>
      </x:c>
      <x:c r="Q848" t="n">
        <x:f>YEAR(B848)</x:f>
        <x:v>2026</x:v>
      </x:c>
      <x:c r="R848" t="str">
        <x:f>TEXT(B848,"yyyy-mm")</x:f>
        <x:v>2026-05</x:v>
      </x:c>
    </x:row>
    <x:row r="849">
      <x:c r="A849" t="n">
        <x:v>10569</x:v>
      </x:c>
      <x:c r="B849" s="10" t="n">
        <x:v>46148</x:v>
      </x:c>
      <x:c r="C849" t="str">
        <x:v>P007</x:v>
      </x:c>
      <x:c r="D849" t="str">
        <x:v>Headset</x:v>
      </x:c>
      <x:c r="E849" t="str">
        <x:v>Accessories</x:v>
      </x:c>
      <x:c r="F849" t="str">
        <x:v>South</x:v>
      </x:c>
      <x:c r="G849" t="str">
        <x:v>Retail</x:v>
      </x:c>
      <x:c r="H849" t="str">
        <x:v>Completed</x:v>
      </x:c>
      <x:c r="I849" t="n">
        <x:v>4</x:v>
      </x:c>
      <x:c r="J849" s="12" t="n">
        <x:v>71.69</x:v>
      </x:c>
      <x:c r="K849" s="12" t="n">
        <x:v>35.36</x:v>
      </x:c>
      <x:c r="L849" s="14" t="n">
        <x:v>0</x:v>
      </x:c>
      <x:c r="M849" s="12" t="n">
        <x:f>IF(H849="Completed",I849*J849*(1-L849),0)</x:f>
        <x:v>286.76</x:v>
      </x:c>
      <x:c r="N849" s="12" t="n">
        <x:f>IF(H849="Completed",I849*K849,0)</x:f>
        <x:v>141.44</x:v>
      </x:c>
      <x:c r="O849" s="12" t="n">
        <x:f>M849-N849</x:f>
        <x:v>145.32</x:v>
      </x:c>
      <x:c r="P849" s="16" t="n">
        <x:f>IFERROR(O849/M849,0)</x:f>
        <x:v>0.5067652392244385</x:v>
      </x:c>
      <x:c r="Q849" t="n">
        <x:f>YEAR(B849)</x:f>
        <x:v>2026</x:v>
      </x:c>
      <x:c r="R849" t="str">
        <x:f>TEXT(B849,"yyyy-mm")</x:f>
        <x:v>2026-05</x:v>
      </x:c>
    </x:row>
    <x:row r="850">
      <x:c r="A850" t="n">
        <x:v>10401</x:v>
      </x:c>
      <x:c r="B850" s="10" t="n">
        <x:v>46149</x:v>
      </x:c>
      <x:c r="C850" t="str">
        <x:v>P005</x:v>
      </x:c>
      <x:c r="D850" t="str">
        <x:v>Desk</x:v>
      </x:c>
      <x:c r="E850" t="str">
        <x:v>Furniture</x:v>
      </x:c>
      <x:c r="F850" t="str">
        <x:v>Midlands</x:v>
      </x:c>
      <x:c r="G850" t="str">
        <x:v>Online</x:v>
      </x:c>
      <x:c r="H850" t="str">
        <x:v>Completed</x:v>
      </x:c>
      <x:c r="I850" t="n">
        <x:v>1</x:v>
      </x:c>
      <x:c r="J850" s="12" t="n">
        <x:v>281.76</x:v>
      </x:c>
      <x:c r="K850" s="12" t="n">
        <x:v>153.56</x:v>
      </x:c>
      <x:c r="L850" s="14" t="n">
        <x:v>0.1</x:v>
      </x:c>
      <x:c r="M850" s="12" t="n">
        <x:f>IF(H850="Completed",I850*J850*(1-L850),0)</x:f>
        <x:v>253.584</x:v>
      </x:c>
      <x:c r="N850" s="12" t="n">
        <x:f>IF(H850="Completed",I850*K850,0)</x:f>
        <x:v>153.56</x:v>
      </x:c>
      <x:c r="O850" s="12" t="n">
        <x:f>M850-N850</x:f>
        <x:v>100.024</x:v>
      </x:c>
      <x:c r="P850" s="16" t="n">
        <x:f>IFERROR(O850/M850,0)</x:f>
        <x:v>0.3944412896712726</x:v>
      </x:c>
      <x:c r="Q850" t="n">
        <x:f>YEAR(B850)</x:f>
        <x:v>2026</x:v>
      </x:c>
      <x:c r="R850" t="str">
        <x:f>TEXT(B850,"yyyy-mm")</x:f>
        <x:v>2026-05</x:v>
      </x:c>
    </x:row>
    <x:row r="851">
      <x:c r="A851" t="n">
        <x:v>10482</x:v>
      </x:c>
      <x:c r="B851" s="10" t="n">
        <x:v>46152</x:v>
      </x:c>
      <x:c r="C851" t="str">
        <x:v>P006</x:v>
      </x:c>
      <x:c r="D851" t="str">
        <x:v>Chair</x:v>
      </x:c>
      <x:c r="E851" t="str">
        <x:v>Furniture</x:v>
      </x:c>
      <x:c r="F851" t="str">
        <x:v>South</x:v>
      </x:c>
      <x:c r="G851" t="str">
        <x:v>Online</x:v>
      </x:c>
      <x:c r="H851" t="str">
        <x:v>Completed</x:v>
      </x:c>
      <x:c r="I851" t="n">
        <x:v>2</x:v>
      </x:c>
      <x:c r="J851" s="12" t="n">
        <x:v>135.16</x:v>
      </x:c>
      <x:c r="K851" s="12" t="n">
        <x:v>69.27</x:v>
      </x:c>
      <x:c r="L851" s="14" t="n">
        <x:v>0.05</x:v>
      </x:c>
      <x:c r="M851" s="12" t="n">
        <x:f>IF(H851="Completed",I851*J851*(1-L851),0)</x:f>
        <x:v>256.804</x:v>
      </x:c>
      <x:c r="N851" s="12" t="n">
        <x:f>IF(H851="Completed",I851*K851,0)</x:f>
        <x:v>138.54</x:v>
      </x:c>
      <x:c r="O851" s="12" t="n">
        <x:f>M851-N851</x:f>
        <x:v>118.26399999999998</x:v>
      </x:c>
      <x:c r="P851" s="16" t="n">
        <x:f>IFERROR(O851/M851,0)</x:f>
        <x:v>0.4605224217691313</x:v>
      </x:c>
      <x:c r="Q851" t="n">
        <x:f>YEAR(B851)</x:f>
        <x:v>2026</x:v>
      </x:c>
      <x:c r="R851" t="str">
        <x:f>TEXT(B851,"yyyy-mm")</x:f>
        <x:v>2026-05</x:v>
      </x:c>
    </x:row>
    <x:row r="852">
      <x:c r="A852" t="n">
        <x:v>10636</x:v>
      </x:c>
      <x:c r="B852" s="10" t="n">
        <x:v>46154</x:v>
      </x:c>
      <x:c r="C852" t="str">
        <x:v>P003</x:v>
      </x:c>
      <x:c r="D852" t="str">
        <x:v>Keyboard</x:v>
      </x:c>
      <x:c r="E852" t="str">
        <x:v>Accessories</x:v>
      </x:c>
      <x:c r="F852" t="str">
        <x:v>North</x:v>
      </x:c>
      <x:c r="G852" t="str">
        <x:v>Online</x:v>
      </x:c>
      <x:c r="H852" t="str">
        <x:v>Completed</x:v>
      </x:c>
      <x:c r="I852" t="n">
        <x:v>4</x:v>
      </x:c>
      <x:c r="J852" s="12" t="n">
        <x:v>50.47</x:v>
      </x:c>
      <x:c r="K852" s="12" t="n">
        <x:v>26.4</x:v>
      </x:c>
      <x:c r="L852" s="14" t="n">
        <x:v>0.15</x:v>
      </x:c>
      <x:c r="M852" s="12" t="n">
        <x:f>IF(H852="Completed",I852*J852*(1-L852),0)</x:f>
        <x:v>171.59799999999998</x:v>
      </x:c>
      <x:c r="N852" s="12" t="n">
        <x:f>IF(H852="Completed",I852*K852,0)</x:f>
        <x:v>105.6</x:v>
      </x:c>
      <x:c r="O852" s="12" t="n">
        <x:f>M852-N852</x:f>
        <x:v>65.99799999999999</x:v>
      </x:c>
      <x:c r="P852" s="16" t="n">
        <x:f>IFERROR(O852/M852,0)</x:f>
        <x:v>0.3846082122169256</x:v>
      </x:c>
      <x:c r="Q852" t="n">
        <x:f>YEAR(B852)</x:f>
        <x:v>2026</x:v>
      </x:c>
      <x:c r="R852" t="str">
        <x:f>TEXT(B852,"yyyy-mm")</x:f>
        <x:v>2026-05</x:v>
      </x:c>
    </x:row>
    <x:row r="853">
      <x:c r="A853" t="n">
        <x:v>10733</x:v>
      </x:c>
      <x:c r="B853" s="10" t="n">
        <x:v>46154</x:v>
      </x:c>
      <x:c r="C853" t="str">
        <x:v>P008</x:v>
      </x:c>
      <x:c r="D853" t="str">
        <x:v>Webcam</x:v>
      </x:c>
      <x:c r="E853" t="str">
        <x:v>Electronics</x:v>
      </x:c>
      <x:c r="F853" t="str">
        <x:v>Midlands</x:v>
      </x:c>
      <x:c r="G853" t="str">
        <x:v>Online</x:v>
      </x:c>
      <x:c r="H853" t="str">
        <x:v>Completed</x:v>
      </x:c>
      <x:c r="I853" t="n">
        <x:v>4</x:v>
      </x:c>
      <x:c r="J853" s="12" t="n">
        <x:v>91.25</x:v>
      </x:c>
      <x:c r="K853" s="12" t="n">
        <x:v>41.64</x:v>
      </x:c>
      <x:c r="L853" s="14" t="n">
        <x:v>0</x:v>
      </x:c>
      <x:c r="M853" s="12" t="n">
        <x:f>IF(H853="Completed",I853*J853*(1-L853),0)</x:f>
        <x:v>365</x:v>
      </x:c>
      <x:c r="N853" s="12" t="n">
        <x:f>IF(H853="Completed",I853*K853,0)</x:f>
        <x:v>166.56</x:v>
      </x:c>
      <x:c r="O853" s="12" t="n">
        <x:f>M853-N853</x:f>
        <x:v>198.44</x:v>
      </x:c>
      <x:c r="P853" s="16" t="n">
        <x:f>IFERROR(O853/M853,0)</x:f>
        <x:v>0.5436712328767124</x:v>
      </x:c>
      <x:c r="Q853" t="n">
        <x:f>YEAR(B853)</x:f>
        <x:v>2026</x:v>
      </x:c>
      <x:c r="R853" t="str">
        <x:f>TEXT(B853,"yyyy-mm")</x:f>
        <x:v>2026-05</x:v>
      </x:c>
    </x:row>
    <x:row r="854">
      <x:c r="A854" t="n">
        <x:v>10462</x:v>
      </x:c>
      <x:c r="B854" s="10" t="n">
        <x:v>46155</x:v>
      </x:c>
      <x:c r="C854" t="str">
        <x:v>P005</x:v>
      </x:c>
      <x:c r="D854" t="str">
        <x:v>Desk</x:v>
      </x:c>
      <x:c r="E854" t="str">
        <x:v>Furniture</x:v>
      </x:c>
      <x:c r="F854" t="str">
        <x:v>Scotland</x:v>
      </x:c>
      <x:c r="G854" t="str">
        <x:v>Retail</x:v>
      </x:c>
      <x:c r="H854" t="str">
        <x:v>Completed</x:v>
      </x:c>
      <x:c r="I854" t="n">
        <x:v>4</x:v>
      </x:c>
      <x:c r="J854" s="12" t="n">
        <x:v>272.87</x:v>
      </x:c>
      <x:c r="K854" s="12" t="n">
        <x:v>153.6</x:v>
      </x:c>
      <x:c r="L854" s="14" t="n">
        <x:v>0.15</x:v>
      </x:c>
      <x:c r="M854" s="12" t="n">
        <x:f>IF(H854="Completed",I854*J854*(1-L854),0)</x:f>
        <x:v>927.758</x:v>
      </x:c>
      <x:c r="N854" s="12" t="n">
        <x:f>IF(H854="Completed",I854*K854,0)</x:f>
        <x:v>614.4</x:v>
      </x:c>
      <x:c r="O854" s="12" t="n">
        <x:f>M854-N854</x:f>
        <x:v>313.35800000000006</x:v>
      </x:c>
      <x:c r="P854" s="16" t="n">
        <x:f>IFERROR(O854/M854,0)</x:f>
        <x:v>0.33775833784241155</x:v>
      </x:c>
      <x:c r="Q854" t="n">
        <x:f>YEAR(B854)</x:f>
        <x:v>2026</x:v>
      </x:c>
      <x:c r="R854" t="str">
        <x:f>TEXT(B854,"yyyy-mm")</x:f>
        <x:v>2026-05</x:v>
      </x:c>
    </x:row>
    <x:row r="855">
      <x:c r="A855" t="n">
        <x:v>10661</x:v>
      </x:c>
      <x:c r="B855" s="10" t="n">
        <x:v>46155</x:v>
      </x:c>
      <x:c r="C855" t="str">
        <x:v>P006</x:v>
      </x:c>
      <x:c r="D855" t="str">
        <x:v>Chair</x:v>
      </x:c>
      <x:c r="E855" t="str">
        <x:v>Furniture</x:v>
      </x:c>
      <x:c r="F855" t="str">
        <x:v>North</x:v>
      </x:c>
      <x:c r="G855" t="str">
        <x:v>Partner</x:v>
      </x:c>
      <x:c r="H855" t="str">
        <x:v>Completed</x:v>
      </x:c>
      <x:c r="I855" t="n">
        <x:v>4</x:v>
      </x:c>
      <x:c r="J855" s="12" t="n">
        <x:v>131.06</x:v>
      </x:c>
      <x:c r="K855" s="12" t="n">
        <x:v>68.84</x:v>
      </x:c>
      <x:c r="L855" s="14" t="n">
        <x:v>0</x:v>
      </x:c>
      <x:c r="M855" s="12" t="n">
        <x:f>IF(H855="Completed",I855*J855*(1-L855),0)</x:f>
        <x:v>524.24</x:v>
      </x:c>
      <x:c r="N855" s="12" t="n">
        <x:f>IF(H855="Completed",I855*K855,0)</x:f>
        <x:v>275.36</x:v>
      </x:c>
      <x:c r="O855" s="12" t="n">
        <x:f>M855-N855</x:f>
        <x:v>248.88</x:v>
      </x:c>
      <x:c r="P855" s="16" t="n">
        <x:f>IFERROR(O855/M855,0)</x:f>
        <x:v>0.47474439188158096</x:v>
      </x:c>
      <x:c r="Q855" t="n">
        <x:f>YEAR(B855)</x:f>
        <x:v>2026</x:v>
      </x:c>
      <x:c r="R855" t="str">
        <x:f>TEXT(B855,"yyyy-mm")</x:f>
        <x:v>2026-05</x:v>
      </x:c>
    </x:row>
    <x:row r="856">
      <x:c r="A856" t="n">
        <x:v>10348</x:v>
      </x:c>
      <x:c r="B856" s="10" t="n">
        <x:v>46157</x:v>
      </x:c>
      <x:c r="C856" t="str">
        <x:v>P007</x:v>
      </x:c>
      <x:c r="D856" t="str">
        <x:v>Headset</x:v>
      </x:c>
      <x:c r="E856" t="str">
        <x:v>Accessories</x:v>
      </x:c>
      <x:c r="F856" t="str">
        <x:v>Midlands</x:v>
      </x:c>
      <x:c r="G856" t="str">
        <x:v>Retail</x:v>
      </x:c>
      <x:c r="H856" t="str">
        <x:v>Cancelled</x:v>
      </x:c>
      <x:c r="I856" t="n">
        <x:v>3</x:v>
      </x:c>
      <x:c r="J856" s="12" t="n">
        <x:v>72.39</x:v>
      </x:c>
      <x:c r="K856" s="12" t="n">
        <x:v>35.42</x:v>
      </x:c>
      <x:c r="L856" s="14" t="n">
        <x:v>0</x:v>
      </x:c>
      <x:c r="M856" s="12" t="n">
        <x:f>IF(H856="Completed",I856*J856*(1-L856),0)</x:f>
        <x:v>0</x:v>
      </x:c>
      <x:c r="N856" s="12" t="n">
        <x:f>IF(H856="Completed",I856*K856,0)</x:f>
        <x:v>0</x:v>
      </x:c>
      <x:c r="O856" s="12" t="n">
        <x:f>M856-N856</x:f>
        <x:v>0</x:v>
      </x:c>
      <x:c r="P856" s="16" t="n">
        <x:f>IFERROR(O856/M856,0)</x:f>
        <x:v>0</x:v>
      </x:c>
      <x:c r="Q856" t="n">
        <x:f>YEAR(B856)</x:f>
        <x:v>2026</x:v>
      </x:c>
      <x:c r="R856" t="str">
        <x:f>TEXT(B856,"yyyy-mm")</x:f>
        <x:v>2026-05</x:v>
      </x:c>
    </x:row>
    <x:row r="857">
      <x:c r="A857" t="n">
        <x:v>10576</x:v>
      </x:c>
      <x:c r="B857" s="10" t="n">
        <x:v>46157</x:v>
      </x:c>
      <x:c r="C857" t="str">
        <x:v>P006</x:v>
      </x:c>
      <x:c r="D857" t="str">
        <x:v>Chair</x:v>
      </x:c>
      <x:c r="E857" t="str">
        <x:v>Furniture</x:v>
      </x:c>
      <x:c r="F857" t="str">
        <x:v>Scotland</x:v>
      </x:c>
      <x:c r="G857" t="str">
        <x:v>Online</x:v>
      </x:c>
      <x:c r="H857" t="str">
        <x:v>Completed</x:v>
      </x:c>
      <x:c r="I857" t="n">
        <x:v>4</x:v>
      </x:c>
      <x:c r="J857" s="12" t="n">
        <x:v>133.22</x:v>
      </x:c>
      <x:c r="K857" s="12" t="n">
        <x:v>68.5</x:v>
      </x:c>
      <x:c r="L857" s="14" t="n">
        <x:v>0.1</x:v>
      </x:c>
      <x:c r="M857" s="12" t="n">
        <x:f>IF(H857="Completed",I857*J857*(1-L857),0)</x:f>
        <x:v>479.592</x:v>
      </x:c>
      <x:c r="N857" s="12" t="n">
        <x:f>IF(H857="Completed",I857*K857,0)</x:f>
        <x:v>274</x:v>
      </x:c>
      <x:c r="O857" s="12" t="n">
        <x:f>M857-N857</x:f>
        <x:v>205.59199999999998</x:v>
      </x:c>
      <x:c r="P857" s="16" t="n">
        <x:f>IFERROR(O857/M857,0)</x:f>
        <x:v>0.4286810455553887</x:v>
      </x:c>
      <x:c r="Q857" t="n">
        <x:f>YEAR(B857)</x:f>
        <x:v>2026</x:v>
      </x:c>
      <x:c r="R857" t="str">
        <x:f>TEXT(B857,"yyyy-mm")</x:f>
        <x:v>2026-05</x:v>
      </x:c>
    </x:row>
    <x:row r="858">
      <x:c r="A858" t="n">
        <x:v>10607</x:v>
      </x:c>
      <x:c r="B858" s="10" t="n">
        <x:v>46158</x:v>
      </x:c>
      <x:c r="C858" t="str">
        <x:v>P008</x:v>
      </x:c>
      <x:c r="D858" t="str">
        <x:v>Webcam</x:v>
      </x:c>
      <x:c r="E858" t="str">
        <x:v>Electronics</x:v>
      </x:c>
      <x:c r="F858" t="str">
        <x:v>North</x:v>
      </x:c>
      <x:c r="G858" t="str">
        <x:v>Online</x:v>
      </x:c>
      <x:c r="H858" t="str">
        <x:v>Completed</x:v>
      </x:c>
      <x:c r="I858" t="n">
        <x:v>3</x:v>
      </x:c>
      <x:c r="J858" s="12" t="n">
        <x:v>87.35</x:v>
      </x:c>
      <x:c r="K858" s="12" t="n">
        <x:v>41.64</x:v>
      </x:c>
      <x:c r="L858" s="14" t="n">
        <x:v>0</x:v>
      </x:c>
      <x:c r="M858" s="12" t="n">
        <x:f>IF(H858="Completed",I858*J858*(1-L858),0)</x:f>
        <x:v>262.04999999999995</x:v>
      </x:c>
      <x:c r="N858" s="12" t="n">
        <x:f>IF(H858="Completed",I858*K858,0)</x:f>
        <x:v>124.92</x:v>
      </x:c>
      <x:c r="O858" s="12" t="n">
        <x:f>M858-N858</x:f>
        <x:v>137.12999999999994</x:v>
      </x:c>
      <x:c r="P858" s="16" t="n">
        <x:f>IFERROR(O858/M858,0)</x:f>
        <x:v>0.5232970807097881</x:v>
      </x:c>
      <x:c r="Q858" t="n">
        <x:f>YEAR(B858)</x:f>
        <x:v>2026</x:v>
      </x:c>
      <x:c r="R858" t="str">
        <x:f>TEXT(B858,"yyyy-mm")</x:f>
        <x:v>2026-05</x:v>
      </x:c>
    </x:row>
    <x:row r="859">
      <x:c r="A859" t="n">
        <x:v>10759</x:v>
      </x:c>
      <x:c r="B859" s="10" t="n">
        <x:v>46158</x:v>
      </x:c>
      <x:c r="C859" t="str">
        <x:v>P002</x:v>
      </x:c>
      <x:c r="D859" t="str">
        <x:v>Monitor</x:v>
      </x:c>
      <x:c r="E859" t="str">
        <x:v>Electronics</x:v>
      </x:c>
      <x:c r="F859" t="str">
        <x:v>South</x:v>
      </x:c>
      <x:c r="G859" t="str">
        <x:v>Online</x:v>
      </x:c>
      <x:c r="H859" t="str">
        <x:v>Completed</x:v>
      </x:c>
      <x:c r="I859" t="n">
        <x:v>4</x:v>
      </x:c>
      <x:c r="J859" s="12" t="n">
        <x:v>286.02</x:v>
      </x:c>
      <x:c r="K859" s="12" t="n">
        <x:v>169.25</x:v>
      </x:c>
      <x:c r="L859" s="14" t="n">
        <x:v>0</x:v>
      </x:c>
      <x:c r="M859" s="12" t="n">
        <x:f>IF(H859="Completed",I859*J859*(1-L859),0)</x:f>
        <x:v>1144.08</x:v>
      </x:c>
      <x:c r="N859" s="12" t="n">
        <x:f>IF(H859="Completed",I859*K859,0)</x:f>
        <x:v>677</x:v>
      </x:c>
      <x:c r="O859" s="12" t="n">
        <x:f>M859-N859</x:f>
        <x:v>467.0799999999999</x:v>
      </x:c>
      <x:c r="P859" s="16" t="n">
        <x:f>IFERROR(O859/M859,0)</x:f>
        <x:v>0.40825816376477164</x:v>
      </x:c>
      <x:c r="Q859" t="n">
        <x:f>YEAR(B859)</x:f>
        <x:v>2026</x:v>
      </x:c>
      <x:c r="R859" t="str">
        <x:f>TEXT(B859,"yyyy-mm")</x:f>
        <x:v>2026-05</x:v>
      </x:c>
    </x:row>
    <x:row r="860">
      <x:c r="A860" t="n">
        <x:v>10487</x:v>
      </x:c>
      <x:c r="B860" s="10" t="n">
        <x:v>46160</x:v>
      </x:c>
      <x:c r="C860" t="str">
        <x:v>P003</x:v>
      </x:c>
      <x:c r="D860" t="str">
        <x:v>Keyboard</x:v>
      </x:c>
      <x:c r="E860" t="str">
        <x:v>Accessories</x:v>
      </x:c>
      <x:c r="F860" t="str">
        <x:v>Midlands</x:v>
      </x:c>
      <x:c r="G860" t="str">
        <x:v>Online</x:v>
      </x:c>
      <x:c r="H860" t="str">
        <x:v>Cancelled</x:v>
      </x:c>
      <x:c r="I860" t="n">
        <x:v>2</x:v>
      </x:c>
      <x:c r="J860" s="12" t="n">
        <x:v>50.52</x:v>
      </x:c>
      <x:c r="K860" s="12" t="n">
        <x:v>25.67</x:v>
      </x:c>
      <x:c r="L860" s="14" t="n">
        <x:v>0.15</x:v>
      </x:c>
      <x:c r="M860" s="12" t="n">
        <x:f>IF(H860="Completed",I860*J860*(1-L860),0)</x:f>
        <x:v>0</x:v>
      </x:c>
      <x:c r="N860" s="12" t="n">
        <x:f>IF(H860="Completed",I860*K860,0)</x:f>
        <x:v>0</x:v>
      </x:c>
      <x:c r="O860" s="12" t="n">
        <x:f>M860-N860</x:f>
        <x:v>0</x:v>
      </x:c>
      <x:c r="P860" s="16" t="n">
        <x:f>IFERROR(O860/M860,0)</x:f>
        <x:v>0</x:v>
      </x:c>
      <x:c r="Q860" t="n">
        <x:f>YEAR(B860)</x:f>
        <x:v>2026</x:v>
      </x:c>
      <x:c r="R860" t="str">
        <x:f>TEXT(B860,"yyyy-mm")</x:f>
        <x:v>2026-05</x:v>
      </x:c>
    </x:row>
    <x:row r="861">
      <x:c r="A861" t="n">
        <x:v>10915</x:v>
      </x:c>
      <x:c r="B861" s="10" t="n">
        <x:v>46160</x:v>
      </x:c>
      <x:c r="C861" t="str">
        <x:v>P001</x:v>
      </x:c>
      <x:c r="D861" t="str">
        <x:v>Laptop</x:v>
      </x:c>
      <x:c r="E861" t="str">
        <x:v>Electronics</x:v>
      </x:c>
      <x:c r="F861" t="str">
        <x:v>South</x:v>
      </x:c>
      <x:c r="G861" t="str">
        <x:v>Partner</x:v>
      </x:c>
      <x:c r="H861" t="str">
        <x:v>Completed</x:v>
      </x:c>
      <x:c r="I861" t="n">
        <x:v>3</x:v>
      </x:c>
      <x:c r="J861" s="12" t="n">
        <x:v>933.68</x:v>
      </x:c>
      <x:c r="K861" s="12" t="n">
        <x:v>636.84</x:v>
      </x:c>
      <x:c r="L861" s="14" t="n">
        <x:v>0.05</x:v>
      </x:c>
      <x:c r="M861" s="12" t="n">
        <x:f>IF(H861="Completed",I861*J861*(1-L861),0)</x:f>
        <x:v>2660.988</x:v>
      </x:c>
      <x:c r="N861" s="12" t="n">
        <x:f>IF(H861="Completed",I861*K861,0)</x:f>
        <x:v>1910.52</x:v>
      </x:c>
      <x:c r="O861" s="12" t="n">
        <x:f>M861-N861</x:f>
        <x:v>750.4679999999998</x:v>
      </x:c>
      <x:c r="P861" s="16" t="n">
        <x:f>IFERROR(O861/M861,0)</x:f>
        <x:v>0.28202607452570244</x:v>
      </x:c>
      <x:c r="Q861" t="n">
        <x:f>YEAR(B861)</x:f>
        <x:v>2026</x:v>
      </x:c>
      <x:c r="R861" t="str">
        <x:f>TEXT(B861,"yyyy-mm")</x:f>
        <x:v>2026-05</x:v>
      </x:c>
    </x:row>
    <x:row r="862">
      <x:c r="A862" t="n">
        <x:v>10072</x:v>
      </x:c>
      <x:c r="B862" s="10" t="n">
        <x:v>46161</x:v>
      </x:c>
      <x:c r="C862" t="str">
        <x:v>P007</x:v>
      </x:c>
      <x:c r="D862" t="str">
        <x:v>Headset</x:v>
      </x:c>
      <x:c r="E862" t="str">
        <x:v>Accessories</x:v>
      </x:c>
      <x:c r="F862" t="str">
        <x:v>North</x:v>
      </x:c>
      <x:c r="G862" t="str">
        <x:v>Partner</x:v>
      </x:c>
      <x:c r="H862" t="str">
        <x:v>Completed</x:v>
      </x:c>
      <x:c r="I862" t="n">
        <x:v>4</x:v>
      </x:c>
      <x:c r="J862" s="12" t="n">
        <x:v>70.61</x:v>
      </x:c>
      <x:c r="K862" s="12" t="n">
        <x:v>34.61</x:v>
      </x:c>
      <x:c r="L862" s="14" t="n">
        <x:v>0.15</x:v>
      </x:c>
      <x:c r="M862" s="12" t="n">
        <x:f>IF(H862="Completed",I862*J862*(1-L862),0)</x:f>
        <x:v>240.07399999999998</x:v>
      </x:c>
      <x:c r="N862" s="12" t="n">
        <x:f>IF(H862="Completed",I862*K862,0)</x:f>
        <x:v>138.44</x:v>
      </x:c>
      <x:c r="O862" s="12" t="n">
        <x:f>M862-N862</x:f>
        <x:v>101.63399999999999</x:v>
      </x:c>
      <x:c r="P862" s="16" t="n">
        <x:f>IFERROR(O862/M862,0)</x:f>
        <x:v>0.4233444687887901</x:v>
      </x:c>
      <x:c r="Q862" t="n">
        <x:f>YEAR(B862)</x:f>
        <x:v>2026</x:v>
      </x:c>
      <x:c r="R862" t="str">
        <x:f>TEXT(B862,"yyyy-mm")</x:f>
        <x:v>2026-05</x:v>
      </x:c>
    </x:row>
    <x:row r="863">
      <x:c r="A863" t="n">
        <x:v>10030</x:v>
      </x:c>
      <x:c r="B863" s="10" t="n">
        <x:v>46163</x:v>
      </x:c>
      <x:c r="C863" t="str">
        <x:v>P003</x:v>
      </x:c>
      <x:c r="D863" t="str">
        <x:v>Keyboard</x:v>
      </x:c>
      <x:c r="E863" t="str">
        <x:v>Accessories</x:v>
      </x:c>
      <x:c r="F863" t="str">
        <x:v>South</x:v>
      </x:c>
      <x:c r="G863" t="str">
        <x:v>Retail</x:v>
      </x:c>
      <x:c r="H863" t="str">
        <x:v>Completed</x:v>
      </x:c>
      <x:c r="I863" t="n">
        <x:v>1</x:v>
      </x:c>
      <x:c r="J863" s="12" t="n">
        <x:v>47.94</x:v>
      </x:c>
      <x:c r="K863" s="12" t="n">
        <x:v>26.64</x:v>
      </x:c>
      <x:c r="L863" s="14" t="n">
        <x:v>0.05</x:v>
      </x:c>
      <x:c r="M863" s="12" t="n">
        <x:f>IF(H863="Completed",I863*J863*(1-L863),0)</x:f>
        <x:v>45.543</x:v>
      </x:c>
      <x:c r="N863" s="12" t="n">
        <x:f>IF(H863="Completed",I863*K863,0)</x:f>
        <x:v>26.64</x:v>
      </x:c>
      <x:c r="O863" s="12" t="n">
        <x:f>M863-N863</x:f>
        <x:v>18.903</x:v>
      </x:c>
      <x:c r="P863" s="16" t="n">
        <x:f>IFERROR(O863/M863,0)</x:f>
        <x:v>0.4150582965549041</x:v>
      </x:c>
      <x:c r="Q863" t="n">
        <x:f>YEAR(B863)</x:f>
        <x:v>2026</x:v>
      </x:c>
      <x:c r="R863" t="str">
        <x:f>TEXT(B863,"yyyy-mm")</x:f>
        <x:v>2026-05</x:v>
      </x:c>
    </x:row>
    <x:row r="864">
      <x:c r="A864" t="n">
        <x:v>10241</x:v>
      </x:c>
      <x:c r="B864" s="10" t="n">
        <x:v>46166</x:v>
      </x:c>
      <x:c r="C864" t="str">
        <x:v>P008</x:v>
      </x:c>
      <x:c r="D864" t="str">
        <x:v>Webcam</x:v>
      </x:c>
      <x:c r="E864" t="str">
        <x:v>Electronics</x:v>
      </x:c>
      <x:c r="F864" t="str">
        <x:v>South</x:v>
      </x:c>
      <x:c r="G864" t="str">
        <x:v>Retail</x:v>
      </x:c>
      <x:c r="H864" t="str">
        <x:v>Completed</x:v>
      </x:c>
      <x:c r="I864" t="n">
        <x:v>1</x:v>
      </x:c>
      <x:c r="J864" s="12" t="n">
        <x:v>91.93</x:v>
      </x:c>
      <x:c r="K864" s="12" t="n">
        <x:v>42.1</x:v>
      </x:c>
      <x:c r="L864" s="14" t="n">
        <x:v>0</x:v>
      </x:c>
      <x:c r="M864" s="12" t="n">
        <x:f>IF(H864="Completed",I864*J864*(1-L864),0)</x:f>
        <x:v>91.93</x:v>
      </x:c>
      <x:c r="N864" s="12" t="n">
        <x:f>IF(H864="Completed",I864*K864,0)</x:f>
        <x:v>42.1</x:v>
      </x:c>
      <x:c r="O864" s="12" t="n">
        <x:f>M864-N864</x:f>
        <x:v>49.830000000000005</x:v>
      </x:c>
      <x:c r="P864" s="16" t="n">
        <x:f>IFERROR(O864/M864,0)</x:f>
        <x:v>0.5420428586968346</x:v>
      </x:c>
      <x:c r="Q864" t="n">
        <x:f>YEAR(B864)</x:f>
        <x:v>2026</x:v>
      </x:c>
      <x:c r="R864" t="str">
        <x:f>TEXT(B864,"yyyy-mm")</x:f>
        <x:v>2026-05</x:v>
      </x:c>
    </x:row>
    <x:row r="865">
      <x:c r="A865" t="n">
        <x:v>10414</x:v>
      </x:c>
      <x:c r="B865" s="10" t="n">
        <x:v>46166</x:v>
      </x:c>
      <x:c r="C865" t="str">
        <x:v>P003</x:v>
      </x:c>
      <x:c r="D865" t="str">
        <x:v>Keyboard</x:v>
      </x:c>
      <x:c r="E865" t="str">
        <x:v>Accessories</x:v>
      </x:c>
      <x:c r="F865" t="str">
        <x:v>Wales</x:v>
      </x:c>
      <x:c r="G865" t="str">
        <x:v>Online</x:v>
      </x:c>
      <x:c r="H865" t="str">
        <x:v>Cancelled</x:v>
      </x:c>
      <x:c r="I865" t="n">
        <x:v>2</x:v>
      </x:c>
      <x:c r="J865" s="12" t="n">
        <x:v>48.02</x:v>
      </x:c>
      <x:c r="K865" s="12" t="n">
        <x:v>26.6</x:v>
      </x:c>
      <x:c r="L865" s="14" t="n">
        <x:v>0.05</x:v>
      </x:c>
      <x:c r="M865" s="12" t="n">
        <x:f>IF(H865="Completed",I865*J865*(1-L865),0)</x:f>
        <x:v>0</x:v>
      </x:c>
      <x:c r="N865" s="12" t="n">
        <x:f>IF(H865="Completed",I865*K865,0)</x:f>
        <x:v>0</x:v>
      </x:c>
      <x:c r="O865" s="12" t="n">
        <x:f>M865-N865</x:f>
        <x:v>0</x:v>
      </x:c>
      <x:c r="P865" s="16" t="n">
        <x:f>IFERROR(O865/M865,0)</x:f>
        <x:v>0</x:v>
      </x:c>
      <x:c r="Q865" t="n">
        <x:f>YEAR(B865)</x:f>
        <x:v>2026</x:v>
      </x:c>
      <x:c r="R865" t="str">
        <x:f>TEXT(B865,"yyyy-mm")</x:f>
        <x:v>2026-05</x:v>
      </x:c>
    </x:row>
    <x:row r="866">
      <x:c r="A866" t="n">
        <x:v>10950</x:v>
      </x:c>
      <x:c r="B866" s="10" t="n">
        <x:v>46167</x:v>
      </x:c>
      <x:c r="C866" t="str">
        <x:v>P005</x:v>
      </x:c>
      <x:c r="D866" t="str">
        <x:v>Desk</x:v>
      </x:c>
      <x:c r="E866" t="str">
        <x:v>Furniture</x:v>
      </x:c>
      <x:c r="F866" t="str">
        <x:v>Scotland</x:v>
      </x:c>
      <x:c r="G866" t="str">
        <x:v>Online</x:v>
      </x:c>
      <x:c r="H866" t="str">
        <x:v>Completed</x:v>
      </x:c>
      <x:c r="I866" t="n">
        <x:v>1</x:v>
      </x:c>
      <x:c r="J866" s="12" t="n">
        <x:v>284.96</x:v>
      </x:c>
      <x:c r="K866" s="12" t="n">
        <x:v>158.27</x:v>
      </x:c>
      <x:c r="L866" s="14" t="n">
        <x:v>0.05</x:v>
      </x:c>
      <x:c r="M866" s="12" t="n">
        <x:f>IF(H866="Completed",I866*J866*(1-L866),0)</x:f>
        <x:v>270.712</x:v>
      </x:c>
      <x:c r="N866" s="12" t="n">
        <x:f>IF(H866="Completed",I866*K866,0)</x:f>
        <x:v>158.27</x:v>
      </x:c>
      <x:c r="O866" s="12" t="n">
        <x:f>M866-N866</x:f>
        <x:v>112.44199999999998</x:v>
      </x:c>
      <x:c r="P866" s="16" t="n">
        <x:f>IFERROR(O866/M866,0)</x:f>
        <x:v>0.41535654126894994</x:v>
      </x:c>
      <x:c r="Q866" t="n">
        <x:f>YEAR(B866)</x:f>
        <x:v>2026</x:v>
      </x:c>
      <x:c r="R866" t="str">
        <x:f>TEXT(B866,"yyyy-mm")</x:f>
        <x:v>2026-05</x:v>
      </x:c>
    </x:row>
    <x:row r="867">
      <x:c r="A867" t="n">
        <x:v>10441</x:v>
      </x:c>
      <x:c r="B867" s="10" t="n">
        <x:v>46169</x:v>
      </x:c>
      <x:c r="C867" t="str">
        <x:v>P008</x:v>
      </x:c>
      <x:c r="D867" t="str">
        <x:v>Webcam</x:v>
      </x:c>
      <x:c r="E867" t="str">
        <x:v>Electronics</x:v>
      </x:c>
      <x:c r="F867" t="str">
        <x:v>Midlands</x:v>
      </x:c>
      <x:c r="G867" t="str">
        <x:v>Partner</x:v>
      </x:c>
      <x:c r="H867" t="str">
        <x:v>Completed</x:v>
      </x:c>
      <x:c r="I867" t="n">
        <x:v>4</x:v>
      </x:c>
      <x:c r="J867" s="12" t="n">
        <x:v>88.84</x:v>
      </x:c>
      <x:c r="K867" s="12" t="n">
        <x:v>41.24</x:v>
      </x:c>
      <x:c r="L867" s="14" t="n">
        <x:v>0</x:v>
      </x:c>
      <x:c r="M867" s="12" t="n">
        <x:f>IF(H867="Completed",I867*J867*(1-L867),0)</x:f>
        <x:v>355.36</x:v>
      </x:c>
      <x:c r="N867" s="12" t="n">
        <x:f>IF(H867="Completed",I867*K867,0)</x:f>
        <x:v>164.96</x:v>
      </x:c>
      <x:c r="O867" s="12" t="n">
        <x:f>M867-N867</x:f>
        <x:v>190.4</x:v>
      </x:c>
      <x:c r="P867" s="16" t="n">
        <x:f>IFERROR(O867/M867,0)</x:f>
        <x:v>0.5357946870778928</x:v>
      </x:c>
      <x:c r="Q867" t="n">
        <x:f>YEAR(B867)</x:f>
        <x:v>2026</x:v>
      </x:c>
      <x:c r="R867" t="str">
        <x:f>TEXT(B867,"yyyy-mm")</x:f>
        <x:v>2026-05</x:v>
      </x:c>
    </x:row>
    <x:row r="868">
      <x:c r="A868" t="n">
        <x:v>10254</x:v>
      </x:c>
      <x:c r="B868" s="10" t="n">
        <x:v>46170</x:v>
      </x:c>
      <x:c r="C868" t="str">
        <x:v>P003</x:v>
      </x:c>
      <x:c r="D868" t="str">
        <x:v>Keyboard</x:v>
      </x:c>
      <x:c r="E868" t="str">
        <x:v>Accessories</x:v>
      </x:c>
      <x:c r="F868" t="str">
        <x:v>Wales</x:v>
      </x:c>
      <x:c r="G868" t="str">
        <x:v>Retail</x:v>
      </x:c>
      <x:c r="H868" t="str">
        <x:v>Completed</x:v>
      </x:c>
      <x:c r="I868" t="n">
        <x:v>4</x:v>
      </x:c>
      <x:c r="J868" s="12" t="n">
        <x:v>49.35</x:v>
      </x:c>
      <x:c r="K868" s="12" t="n">
        <x:v>25.98</x:v>
      </x:c>
      <x:c r="L868" s="14" t="n">
        <x:v>0.1</x:v>
      </x:c>
      <x:c r="M868" s="12" t="n">
        <x:f>IF(H868="Completed",I868*J868*(1-L868),0)</x:f>
        <x:v>177.66</x:v>
      </x:c>
      <x:c r="N868" s="12" t="n">
        <x:f>IF(H868="Completed",I868*K868,0)</x:f>
        <x:v>103.92</x:v>
      </x:c>
      <x:c r="O868" s="12" t="n">
        <x:f>M868-N868</x:f>
        <x:v>73.74</x:v>
      </x:c>
      <x:c r="P868" s="16" t="n">
        <x:f>IFERROR(O868/M868,0)</x:f>
        <x:v>0.4150624788922661</x:v>
      </x:c>
      <x:c r="Q868" t="n">
        <x:f>YEAR(B868)</x:f>
        <x:v>2026</x:v>
      </x:c>
      <x:c r="R868" t="str">
        <x:f>TEXT(B868,"yyyy-mm")</x:f>
        <x:v>2026-05</x:v>
      </x:c>
    </x:row>
    <x:row r="869">
      <x:c r="A869" t="n">
        <x:v>10806</x:v>
      </x:c>
      <x:c r="B869" s="10" t="n">
        <x:v>46170</x:v>
      </x:c>
      <x:c r="C869" t="str">
        <x:v>P008</x:v>
      </x:c>
      <x:c r="D869" t="str">
        <x:v>Webcam</x:v>
      </x:c>
      <x:c r="E869" t="str">
        <x:v>Electronics</x:v>
      </x:c>
      <x:c r="F869" t="str">
        <x:v>North</x:v>
      </x:c>
      <x:c r="G869" t="str">
        <x:v>Partner</x:v>
      </x:c>
      <x:c r="H869" t="str">
        <x:v>Completed</x:v>
      </x:c>
      <x:c r="I869" t="n">
        <x:v>4</x:v>
      </x:c>
      <x:c r="J869" s="12" t="n">
        <x:v>86.89</x:v>
      </x:c>
      <x:c r="K869" s="12" t="n">
        <x:v>42.89</x:v>
      </x:c>
      <x:c r="L869" s="14" t="n">
        <x:v>0</x:v>
      </x:c>
      <x:c r="M869" s="12" t="n">
        <x:f>IF(H869="Completed",I869*J869*(1-L869),0)</x:f>
        <x:v>347.56</x:v>
      </x:c>
      <x:c r="N869" s="12" t="n">
        <x:f>IF(H869="Completed",I869*K869,0)</x:f>
        <x:v>171.56</x:v>
      </x:c>
      <x:c r="O869" s="12" t="n">
        <x:f>M869-N869</x:f>
        <x:v>176</x:v>
      </x:c>
      <x:c r="P869" s="16" t="n">
        <x:f>IFERROR(O869/M869,0)</x:f>
        <x:v>0.5063873863505581</x:v>
      </x:c>
      <x:c r="Q869" t="n">
        <x:f>YEAR(B869)</x:f>
        <x:v>2026</x:v>
      </x:c>
      <x:c r="R869" t="str">
        <x:f>TEXT(B869,"yyyy-mm")</x:f>
        <x:v>2026-05</x:v>
      </x:c>
    </x:row>
    <x:row r="870">
      <x:c r="A870" t="n">
        <x:v>10626</x:v>
      </x:c>
      <x:c r="B870" s="10" t="n">
        <x:v>46172</x:v>
      </x:c>
      <x:c r="C870" t="str">
        <x:v>P005</x:v>
      </x:c>
      <x:c r="D870" t="str">
        <x:v>Desk</x:v>
      </x:c>
      <x:c r="E870" t="str">
        <x:v>Furniture</x:v>
      </x:c>
      <x:c r="F870" t="str">
        <x:v>South</x:v>
      </x:c>
      <x:c r="G870" t="str">
        <x:v>Online</x:v>
      </x:c>
      <x:c r="H870" t="str">
        <x:v>Completed</x:v>
      </x:c>
      <x:c r="I870" t="n">
        <x:v>3</x:v>
      </x:c>
      <x:c r="J870" s="12" t="n">
        <x:v>267.87</x:v>
      </x:c>
      <x:c r="K870" s="12" t="n">
        <x:v>156.33</x:v>
      </x:c>
      <x:c r="L870" s="14" t="n">
        <x:v>0.1</x:v>
      </x:c>
      <x:c r="M870" s="12" t="n">
        <x:f>IF(H870="Completed",I870*J870*(1-L870),0)</x:f>
        <x:v>723.249</x:v>
      </x:c>
      <x:c r="N870" s="12" t="n">
        <x:f>IF(H870="Completed",I870*K870,0)</x:f>
        <x:v>468.99</x:v>
      </x:c>
      <x:c r="O870" s="12" t="n">
        <x:f>M870-N870</x:f>
        <x:v>254.25900000000001</x:v>
      </x:c>
      <x:c r="P870" s="16" t="n">
        <x:f>IFERROR(O870/M870,0)</x:f>
        <x:v>0.3515511255459738</x:v>
      </x:c>
      <x:c r="Q870" t="n">
        <x:f>YEAR(B870)</x:f>
        <x:v>2026</x:v>
      </x:c>
      <x:c r="R870" t="str">
        <x:f>TEXT(B870,"yyyy-mm")</x:f>
        <x:v>2026-05</x:v>
      </x:c>
    </x:row>
    <x:row r="871">
      <x:c r="A871" t="n">
        <x:v>10092</x:v>
      </x:c>
      <x:c r="B871" s="10" t="n">
        <x:v>46173</x:v>
      </x:c>
      <x:c r="C871" t="str">
        <x:v>P001</x:v>
      </x:c>
      <x:c r="D871" t="str">
        <x:v>Laptop</x:v>
      </x:c>
      <x:c r="E871" t="str">
        <x:v>Electronics</x:v>
      </x:c>
      <x:c r="F871" t="str">
        <x:v>South</x:v>
      </x:c>
      <x:c r="G871" t="str">
        <x:v>Retail</x:v>
      </x:c>
      <x:c r="H871" t="str">
        <x:v>Completed</x:v>
      </x:c>
      <x:c r="I871" t="n">
        <x:v>3</x:v>
      </x:c>
      <x:c r="J871" s="12" t="n">
        <x:v>925.82</x:v>
      </x:c>
      <x:c r="K871" s="12" t="n">
        <x:v>621.31</x:v>
      </x:c>
      <x:c r="L871" s="14" t="n">
        <x:v>0.05</x:v>
      </x:c>
      <x:c r="M871" s="12" t="n">
        <x:f>IF(H871="Completed",I871*J871*(1-L871),0)</x:f>
        <x:v>2638.587</x:v>
      </x:c>
      <x:c r="N871" s="12" t="n">
        <x:f>IF(H871="Completed",I871*K871,0)</x:f>
        <x:v>1863.9299999999998</x:v>
      </x:c>
      <x:c r="O871" s="12" t="n">
        <x:f>M871-N871</x:f>
        <x:v>774.6570000000002</x:v>
      </x:c>
      <x:c r="P871" s="16" t="n">
        <x:f>IFERROR(O871/M871,0)</x:f>
        <x:v>0.2935878180253295</x:v>
      </x:c>
      <x:c r="Q871" t="n">
        <x:f>YEAR(B871)</x:f>
        <x:v>2026</x:v>
      </x:c>
      <x:c r="R871" t="str">
        <x:f>TEXT(B871,"yyyy-mm")</x:f>
        <x:v>2026-05</x:v>
      </x:c>
    </x:row>
    <x:row r="872">
      <x:c r="A872" t="n">
        <x:v>10006</x:v>
      </x:c>
      <x:c r="B872" s="10" t="n">
        <x:v>46174</x:v>
      </x:c>
      <x:c r="C872" t="str">
        <x:v>P006</x:v>
      </x:c>
      <x:c r="D872" t="str">
        <x:v>Chair</x:v>
      </x:c>
      <x:c r="E872" t="str">
        <x:v>Furniture</x:v>
      </x:c>
      <x:c r="F872" t="str">
        <x:v>South</x:v>
      </x:c>
      <x:c r="G872" t="str">
        <x:v>Online</x:v>
      </x:c>
      <x:c r="H872" t="str">
        <x:v>Completed</x:v>
      </x:c>
      <x:c r="I872" t="n">
        <x:v>2</x:v>
      </x:c>
      <x:c r="J872" s="12" t="n">
        <x:v>140.26</x:v>
      </x:c>
      <x:c r="K872" s="12" t="n">
        <x:v>69.55</x:v>
      </x:c>
      <x:c r="L872" s="14" t="n">
        <x:v>0</x:v>
      </x:c>
      <x:c r="M872" s="12" t="n">
        <x:f>IF(H872="Completed",I872*J872*(1-L872),0)</x:f>
        <x:v>280.52</x:v>
      </x:c>
      <x:c r="N872" s="12" t="n">
        <x:f>IF(H872="Completed",I872*K872,0)</x:f>
        <x:v>139.1</x:v>
      </x:c>
      <x:c r="O872" s="12" t="n">
        <x:f>M872-N872</x:f>
        <x:v>141.42</x:v>
      </x:c>
      <x:c r="P872" s="16" t="n">
        <x:f>IFERROR(O872/M872,0)</x:f>
        <x:v>0.504135177527449</x:v>
      </x:c>
      <x:c r="Q872" t="n">
        <x:f>YEAR(B872)</x:f>
        <x:v>2026</x:v>
      </x:c>
      <x:c r="R872" t="str">
        <x:f>TEXT(B872,"yyyy-mm")</x:f>
        <x:v>2026-06</x:v>
      </x:c>
    </x:row>
    <x:row r="873">
      <x:c r="A873" t="n">
        <x:v>10024</x:v>
      </x:c>
      <x:c r="B873" s="10" t="n">
        <x:v>46174</x:v>
      </x:c>
      <x:c r="C873" t="str">
        <x:v>P002</x:v>
      </x:c>
      <x:c r="D873" t="str">
        <x:v>Monitor</x:v>
      </x:c>
      <x:c r="E873" t="str">
        <x:v>Electronics</x:v>
      </x:c>
      <x:c r="F873" t="str">
        <x:v>North</x:v>
      </x:c>
      <x:c r="G873" t="str">
        <x:v>Online</x:v>
      </x:c>
      <x:c r="H873" t="str">
        <x:v>Completed</x:v>
      </x:c>
      <x:c r="I873" t="n">
        <x:v>2</x:v>
      </x:c>
      <x:c r="J873" s="12" t="n">
        <x:v>280.11</x:v>
      </x:c>
      <x:c r="K873" s="12" t="n">
        <x:v>170.53</x:v>
      </x:c>
      <x:c r="L873" s="14" t="n">
        <x:v>0.05</x:v>
      </x:c>
      <x:c r="M873" s="12" t="n">
        <x:f>IF(H873="Completed",I873*J873*(1-L873),0)</x:f>
        <x:v>532.209</x:v>
      </x:c>
      <x:c r="N873" s="12" t="n">
        <x:f>IF(H873="Completed",I873*K873,0)</x:f>
        <x:v>341.06</x:v>
      </x:c>
      <x:c r="O873" s="12" t="n">
        <x:f>M873-N873</x:f>
        <x:v>191.14899999999994</x:v>
      </x:c>
      <x:c r="P873" s="16" t="n">
        <x:f>IFERROR(O873/M873,0)</x:f>
        <x:v>0.3591615324055023</x:v>
      </x:c>
      <x:c r="Q873" t="n">
        <x:f>YEAR(B873)</x:f>
        <x:v>2026</x:v>
      </x:c>
      <x:c r="R873" t="str">
        <x:f>TEXT(B873,"yyyy-mm")</x:f>
        <x:v>2026-06</x:v>
      </x:c>
    </x:row>
    <x:row r="874">
      <x:c r="A874" t="n">
        <x:v>10101</x:v>
      </x:c>
      <x:c r="B874" s="10" t="n">
        <x:v>46176</x:v>
      </x:c>
      <x:c r="C874" t="str">
        <x:v>P002</x:v>
      </x:c>
      <x:c r="D874" t="str">
        <x:v>Monitor</x:v>
      </x:c>
      <x:c r="E874" t="str">
        <x:v>Electronics</x:v>
      </x:c>
      <x:c r="F874" t="str">
        <x:v>Scotland</x:v>
      </x:c>
      <x:c r="G874" t="str">
        <x:v>Partner</x:v>
      </x:c>
      <x:c r="H874" t="str">
        <x:v>Completed</x:v>
      </x:c>
      <x:c r="I874" t="n">
        <x:v>3</x:v>
      </x:c>
      <x:c r="J874" s="12" t="n">
        <x:v>281.78</x:v>
      </x:c>
      <x:c r="K874" s="12" t="n">
        <x:v>166.62</x:v>
      </x:c>
      <x:c r="L874" s="14" t="n">
        <x:v>0.1</x:v>
      </x:c>
      <x:c r="M874" s="12" t="n">
        <x:f>IF(H874="Completed",I874*J874*(1-L874),0)</x:f>
        <x:v>760.8059999999999</x:v>
      </x:c>
      <x:c r="N874" s="12" t="n">
        <x:f>IF(H874="Completed",I874*K874,0)</x:f>
        <x:v>499.86</x:v>
      </x:c>
      <x:c r="O874" s="12" t="n">
        <x:f>M874-N874</x:f>
        <x:v>260.9459999999999</x:v>
      </x:c>
      <x:c r="P874" s="16" t="n">
        <x:f>IFERROR(O874/M874,0)</x:f>
        <x:v>0.34298625405162414</x:v>
      </x:c>
      <x:c r="Q874" t="n">
        <x:f>YEAR(B874)</x:f>
        <x:v>2026</x:v>
      </x:c>
      <x:c r="R874" t="str">
        <x:f>TEXT(B874,"yyyy-mm")</x:f>
        <x:v>2026-06</x:v>
      </x:c>
    </x:row>
    <x:row r="875">
      <x:c r="A875" t="n">
        <x:v>10157</x:v>
      </x:c>
      <x:c r="B875" s="10" t="n">
        <x:v>46176</x:v>
      </x:c>
      <x:c r="C875" t="str">
        <x:v>P002</x:v>
      </x:c>
      <x:c r="D875" t="str">
        <x:v>Monitor</x:v>
      </x:c>
      <x:c r="E875" t="str">
        <x:v>Electronics</x:v>
      </x:c>
      <x:c r="F875" t="str">
        <x:v>South</x:v>
      </x:c>
      <x:c r="G875" t="str">
        <x:v>Retail</x:v>
      </x:c>
      <x:c r="H875" t="str">
        <x:v>Completed</x:v>
      </x:c>
      <x:c r="I875" t="n">
        <x:v>4</x:v>
      </x:c>
      <x:c r="J875" s="12" t="n">
        <x:v>294.59</x:v>
      </x:c>
      <x:c r="K875" s="12" t="n">
        <x:v>171.46</x:v>
      </x:c>
      <x:c r="L875" s="14" t="n">
        <x:v>0.05</x:v>
      </x:c>
      <x:c r="M875" s="12" t="n">
        <x:f>IF(H875="Completed",I875*J875*(1-L875),0)</x:f>
        <x:v>1119.4419999999998</x:v>
      </x:c>
      <x:c r="N875" s="12" t="n">
        <x:f>IF(H875="Completed",I875*K875,0)</x:f>
        <x:v>685.84</x:v>
      </x:c>
      <x:c r="O875" s="12" t="n">
        <x:f>M875-N875</x:f>
        <x:v>433.60199999999975</x:v>
      </x:c>
      <x:c r="P875" s="16" t="n">
        <x:f>IFERROR(O875/M875,0)</x:f>
        <x:v>0.3873376199928177</x:v>
      </x:c>
      <x:c r="Q875" t="n">
        <x:f>YEAR(B875)</x:f>
        <x:v>2026</x:v>
      </x:c>
      <x:c r="R875" t="str">
        <x:f>TEXT(B875,"yyyy-mm")</x:f>
        <x:v>2026-06</x:v>
      </x:c>
    </x:row>
    <x:row r="876">
      <x:c r="A876" t="n">
        <x:v>10261</x:v>
      </x:c>
      <x:c r="B876" s="10" t="n">
        <x:v>46176</x:v>
      </x:c>
      <x:c r="C876" t="str">
        <x:v>P004</x:v>
      </x:c>
      <x:c r="D876" t="str">
        <x:v>Mouse</x:v>
      </x:c>
      <x:c r="E876" t="str">
        <x:v>Accessories</x:v>
      </x:c>
      <x:c r="F876" t="str">
        <x:v>North</x:v>
      </x:c>
      <x:c r="G876" t="str">
        <x:v>Retail</x:v>
      </x:c>
      <x:c r="H876" t="str">
        <x:v>Cancelled</x:v>
      </x:c>
      <x:c r="I876" t="n">
        <x:v>2</x:v>
      </x:c>
      <x:c r="J876" s="12" t="n">
        <x:v>27.55</x:v>
      </x:c>
      <x:c r="K876" s="12" t="n">
        <x:v>12.93</x:v>
      </x:c>
      <x:c r="L876" s="14" t="n">
        <x:v>0.1</x:v>
      </x:c>
      <x:c r="M876" s="12" t="n">
        <x:f>IF(H876="Completed",I876*J876*(1-L876),0)</x:f>
        <x:v>0</x:v>
      </x:c>
      <x:c r="N876" s="12" t="n">
        <x:f>IF(H876="Completed",I876*K876,0)</x:f>
        <x:v>0</x:v>
      </x:c>
      <x:c r="O876" s="12" t="n">
        <x:f>M876-N876</x:f>
        <x:v>0</x:v>
      </x:c>
      <x:c r="P876" s="16" t="n">
        <x:f>IFERROR(O876/M876,0)</x:f>
        <x:v>0</x:v>
      </x:c>
      <x:c r="Q876" t="n">
        <x:f>YEAR(B876)</x:f>
        <x:v>2026</x:v>
      </x:c>
      <x:c r="R876" t="str">
        <x:f>TEXT(B876,"yyyy-mm")</x:f>
        <x:v>2026-06</x:v>
      </x:c>
    </x:row>
    <x:row r="877">
      <x:c r="A877" t="n">
        <x:v>10543</x:v>
      </x:c>
      <x:c r="B877" s="10" t="n">
        <x:v>46176</x:v>
      </x:c>
      <x:c r="C877" t="str">
        <x:v>P008</x:v>
      </x:c>
      <x:c r="D877" t="str">
        <x:v>Webcam</x:v>
      </x:c>
      <x:c r="E877" t="str">
        <x:v>Electronics</x:v>
      </x:c>
      <x:c r="F877" t="str">
        <x:v>Wales</x:v>
      </x:c>
      <x:c r="G877" t="str">
        <x:v>Online</x:v>
      </x:c>
      <x:c r="H877" t="str">
        <x:v>Completed</x:v>
      </x:c>
      <x:c r="I877" t="n">
        <x:v>4</x:v>
      </x:c>
      <x:c r="J877" s="12" t="n">
        <x:v>89.1</x:v>
      </x:c>
      <x:c r="K877" s="12" t="n">
        <x:v>43.2</x:v>
      </x:c>
      <x:c r="L877" s="14" t="n">
        <x:v>0.1</x:v>
      </x:c>
      <x:c r="M877" s="12" t="n">
        <x:f>IF(H877="Completed",I877*J877*(1-L877),0)</x:f>
        <x:v>320.76</x:v>
      </x:c>
      <x:c r="N877" s="12" t="n">
        <x:f>IF(H877="Completed",I877*K877,0)</x:f>
        <x:v>172.8</x:v>
      </x:c>
      <x:c r="O877" s="12" t="n">
        <x:f>M877-N877</x:f>
        <x:v>147.95999999999998</x:v>
      </x:c>
      <x:c r="P877" s="16" t="n">
        <x:f>IFERROR(O877/M877,0)</x:f>
        <x:v>0.46127946127946123</x:v>
      </x:c>
      <x:c r="Q877" t="n">
        <x:f>YEAR(B877)</x:f>
        <x:v>2026</x:v>
      </x:c>
      <x:c r="R877" t="str">
        <x:f>TEXT(B877,"yyyy-mm")</x:f>
        <x:v>2026-06</x:v>
      </x:c>
    </x:row>
    <x:row r="878">
      <x:c r="A878" t="n">
        <x:v>10310</x:v>
      </x:c>
      <x:c r="B878" s="10" t="n">
        <x:v>46178</x:v>
      </x:c>
      <x:c r="C878" t="str">
        <x:v>P002</x:v>
      </x:c>
      <x:c r="D878" t="str">
        <x:v>Monitor</x:v>
      </x:c>
      <x:c r="E878" t="str">
        <x:v>Electronics</x:v>
      </x:c>
      <x:c r="F878" t="str">
        <x:v>North</x:v>
      </x:c>
      <x:c r="G878" t="str">
        <x:v>Retail</x:v>
      </x:c>
      <x:c r="H878" t="str">
        <x:v>Completed</x:v>
      </x:c>
      <x:c r="I878" t="n">
        <x:v>2</x:v>
      </x:c>
      <x:c r="J878" s="12" t="n">
        <x:v>288.62</x:v>
      </x:c>
      <x:c r="K878" s="12" t="n">
        <x:v>170.24</x:v>
      </x:c>
      <x:c r="L878" s="14" t="n">
        <x:v>0.15</x:v>
      </x:c>
      <x:c r="M878" s="12" t="n">
        <x:f>IF(H878="Completed",I878*J878*(1-L878),0)</x:f>
        <x:v>490.654</x:v>
      </x:c>
      <x:c r="N878" s="12" t="n">
        <x:f>IF(H878="Completed",I878*K878,0)</x:f>
        <x:v>340.48</x:v>
      </x:c>
      <x:c r="O878" s="12" t="n">
        <x:f>M878-N878</x:f>
        <x:v>150.17399999999998</x:v>
      </x:c>
      <x:c r="P878" s="16" t="n">
        <x:f>IFERROR(O878/M878,0)</x:f>
        <x:v>0.30606904254321776</x:v>
      </x:c>
      <x:c r="Q878" t="n">
        <x:f>YEAR(B878)</x:f>
        <x:v>2026</x:v>
      </x:c>
      <x:c r="R878" t="str">
        <x:f>TEXT(B878,"yyyy-mm")</x:f>
        <x:v>2026-06</x:v>
      </x:c>
    </x:row>
    <x:row r="879">
      <x:c r="A879" t="n">
        <x:v>10007</x:v>
      </x:c>
      <x:c r="B879" s="10" t="n">
        <x:v>46179</x:v>
      </x:c>
      <x:c r="C879" t="str">
        <x:v>P002</x:v>
      </x:c>
      <x:c r="D879" t="str">
        <x:v>Monitor</x:v>
      </x:c>
      <x:c r="E879" t="str">
        <x:v>Electronics</x:v>
      </x:c>
      <x:c r="F879" t="str">
        <x:v>Midlands</x:v>
      </x:c>
      <x:c r="G879" t="str">
        <x:v>Retail</x:v>
      </x:c>
      <x:c r="H879" t="str">
        <x:v>Completed</x:v>
      </x:c>
      <x:c r="I879" t="n">
        <x:v>4</x:v>
      </x:c>
      <x:c r="J879" s="12" t="n">
        <x:v>283.84</x:v>
      </x:c>
      <x:c r="K879" s="12" t="n">
        <x:v>168.38</x:v>
      </x:c>
      <x:c r="L879" s="14" t="n">
        <x:v>0</x:v>
      </x:c>
      <x:c r="M879" s="12" t="n">
        <x:f>IF(H879="Completed",I879*J879*(1-L879),0)</x:f>
        <x:v>1135.36</x:v>
      </x:c>
      <x:c r="N879" s="12" t="n">
        <x:f>IF(H879="Completed",I879*K879,0)</x:f>
        <x:v>673.52</x:v>
      </x:c>
      <x:c r="O879" s="12" t="n">
        <x:f>M879-N879</x:f>
        <x:v>461.8399999999999</x:v>
      </x:c>
      <x:c r="P879" s="16" t="n">
        <x:f>IFERROR(O879/M879,0)</x:f>
        <x:v>0.40677846674182633</x:v>
      </x:c>
      <x:c r="Q879" t="n">
        <x:f>YEAR(B879)</x:f>
        <x:v>2026</x:v>
      </x:c>
      <x:c r="R879" t="str">
        <x:f>TEXT(B879,"yyyy-mm")</x:f>
        <x:v>2026-06</x:v>
      </x:c>
    </x:row>
    <x:row r="880">
      <x:c r="A880" t="n">
        <x:v>10747</x:v>
      </x:c>
      <x:c r="B880" s="10" t="n">
        <x:v>46180</x:v>
      </x:c>
      <x:c r="C880" t="str">
        <x:v>P006</x:v>
      </x:c>
      <x:c r="D880" t="str">
        <x:v>Chair</x:v>
      </x:c>
      <x:c r="E880" t="str">
        <x:v>Furniture</x:v>
      </x:c>
      <x:c r="F880" t="str">
        <x:v>Wales</x:v>
      </x:c>
      <x:c r="G880" t="str">
        <x:v>Retail</x:v>
      </x:c>
      <x:c r="H880" t="str">
        <x:v>Completed</x:v>
      </x:c>
      <x:c r="I880" t="n">
        <x:v>1</x:v>
      </x:c>
      <x:c r="J880" s="12" t="n">
        <x:v>131.01</x:v>
      </x:c>
      <x:c r="K880" s="12" t="n">
        <x:v>68.81</x:v>
      </x:c>
      <x:c r="L880" s="14" t="n">
        <x:v>0</x:v>
      </x:c>
      <x:c r="M880" s="12" t="n">
        <x:f>IF(H880="Completed",I880*J880*(1-L880),0)</x:f>
        <x:v>131.01</x:v>
      </x:c>
      <x:c r="N880" s="12" t="n">
        <x:f>IF(H880="Completed",I880*K880,0)</x:f>
        <x:v>68.81</x:v>
      </x:c>
      <x:c r="O880" s="12" t="n">
        <x:f>M880-N880</x:f>
        <x:v>62.19999999999999</x:v>
      </x:c>
      <x:c r="P880" s="16" t="n">
        <x:f>IFERROR(O880/M880,0)</x:f>
        <x:v>0.47477291809785505</x:v>
      </x:c>
      <x:c r="Q880" t="n">
        <x:f>YEAR(B880)</x:f>
        <x:v>2026</x:v>
      </x:c>
      <x:c r="R880" t="str">
        <x:f>TEXT(B880,"yyyy-mm")</x:f>
        <x:v>2026-06</x:v>
      </x:c>
    </x:row>
    <x:row r="881">
      <x:c r="A881" t="n">
        <x:v>10640</x:v>
      </x:c>
      <x:c r="B881" s="10" t="n">
        <x:v>46184</x:v>
      </x:c>
      <x:c r="C881" t="str">
        <x:v>P002</x:v>
      </x:c>
      <x:c r="D881" t="str">
        <x:v>Monitor</x:v>
      </x:c>
      <x:c r="E881" t="str">
        <x:v>Electronics</x:v>
      </x:c>
      <x:c r="F881" t="str">
        <x:v>North</x:v>
      </x:c>
      <x:c r="G881" t="str">
        <x:v>Online</x:v>
      </x:c>
      <x:c r="H881" t="str">
        <x:v>Completed</x:v>
      </x:c>
      <x:c r="I881" t="n">
        <x:v>2</x:v>
      </x:c>
      <x:c r="J881" s="12" t="n">
        <x:v>293.7</x:v>
      </x:c>
      <x:c r="K881" s="12" t="n">
        <x:v>167.58</x:v>
      </x:c>
      <x:c r="L881" s="14" t="n">
        <x:v>0.15</x:v>
      </x:c>
      <x:c r="M881" s="12" t="n">
        <x:f>IF(H881="Completed",I881*J881*(1-L881),0)</x:f>
        <x:v>499.28999999999996</x:v>
      </x:c>
      <x:c r="N881" s="12" t="n">
        <x:f>IF(H881="Completed",I881*K881,0)</x:f>
        <x:v>335.16</x:v>
      </x:c>
      <x:c r="O881" s="12" t="n">
        <x:f>M881-N881</x:f>
        <x:v>164.12999999999994</x:v>
      </x:c>
      <x:c r="P881" s="16" t="n">
        <x:f>IFERROR(O881/M881,0)</x:f>
        <x:v>0.3287267920447034</x:v>
      </x:c>
      <x:c r="Q881" t="n">
        <x:f>YEAR(B881)</x:f>
        <x:v>2026</x:v>
      </x:c>
      <x:c r="R881" t="str">
        <x:f>TEXT(B881,"yyyy-mm")</x:f>
        <x:v>2026-06</x:v>
      </x:c>
    </x:row>
    <x:row r="882">
      <x:c r="A882" t="n">
        <x:v>10217</x:v>
      </x:c>
      <x:c r="B882" s="10" t="n">
        <x:v>46185</x:v>
      </x:c>
      <x:c r="C882" t="str">
        <x:v>P001</x:v>
      </x:c>
      <x:c r="D882" t="str">
        <x:v>Laptop</x:v>
      </x:c>
      <x:c r="E882" t="str">
        <x:v>Electronics</x:v>
      </x:c>
      <x:c r="F882" t="str">
        <x:v>Midlands</x:v>
      </x:c>
      <x:c r="G882" t="str">
        <x:v>Retail</x:v>
      </x:c>
      <x:c r="H882" t="str">
        <x:v>Cancelled</x:v>
      </x:c>
      <x:c r="I882" t="n">
        <x:v>4</x:v>
      </x:c>
      <x:c r="J882" s="12" t="n">
        <x:v>907.05</x:v>
      </x:c>
      <x:c r="K882" s="12" t="n">
        <x:v>609.19</x:v>
      </x:c>
      <x:c r="L882" s="14" t="n">
        <x:v>0.1</x:v>
      </x:c>
      <x:c r="M882" s="12" t="n">
        <x:f>IF(H882="Completed",I882*J882*(1-L882),0)</x:f>
        <x:v>0</x:v>
      </x:c>
      <x:c r="N882" s="12" t="n">
        <x:f>IF(H882="Completed",I882*K882,0)</x:f>
        <x:v>0</x:v>
      </x:c>
      <x:c r="O882" s="12" t="n">
        <x:f>M882-N882</x:f>
        <x:v>0</x:v>
      </x:c>
      <x:c r="P882" s="16" t="n">
        <x:f>IFERROR(O882/M882,0)</x:f>
        <x:v>0</x:v>
      </x:c>
      <x:c r="Q882" t="n">
        <x:f>YEAR(B882)</x:f>
        <x:v>2026</x:v>
      </x:c>
      <x:c r="R882" t="str">
        <x:f>TEXT(B882,"yyyy-mm")</x:f>
        <x:v>2026-06</x:v>
      </x:c>
    </x:row>
    <x:row r="883">
      <x:c r="A883" t="n">
        <x:v>10756</x:v>
      </x:c>
      <x:c r="B883" s="10" t="n">
        <x:v>46185</x:v>
      </x:c>
      <x:c r="C883" t="str">
        <x:v>P006</x:v>
      </x:c>
      <x:c r="D883" t="str">
        <x:v>Chair</x:v>
      </x:c>
      <x:c r="E883" t="str">
        <x:v>Furniture</x:v>
      </x:c>
      <x:c r="F883" t="str">
        <x:v>Midlands</x:v>
      </x:c>
      <x:c r="G883" t="str">
        <x:v>Retail</x:v>
      </x:c>
      <x:c r="H883" t="str">
        <x:v>Completed</x:v>
      </x:c>
      <x:c r="I883" t="n">
        <x:v>3</x:v>
      </x:c>
      <x:c r="J883" s="12" t="n">
        <x:v>136</x:v>
      </x:c>
      <x:c r="K883" s="12" t="n">
        <x:v>67.84</x:v>
      </x:c>
      <x:c r="L883" s="14" t="n">
        <x:v>0</x:v>
      </x:c>
      <x:c r="M883" s="12" t="n">
        <x:f>IF(H883="Completed",I883*J883*(1-L883),0)</x:f>
        <x:v>408</x:v>
      </x:c>
      <x:c r="N883" s="12" t="n">
        <x:f>IF(H883="Completed",I883*K883,0)</x:f>
        <x:v>203.52</x:v>
      </x:c>
      <x:c r="O883" s="12" t="n">
        <x:f>M883-N883</x:f>
        <x:v>204.48</x:v>
      </x:c>
      <x:c r="P883" s="16" t="n">
        <x:f>IFERROR(O883/M883,0)</x:f>
        <x:v>0.5011764705882352</x:v>
      </x:c>
      <x:c r="Q883" t="n">
        <x:f>YEAR(B883)</x:f>
        <x:v>2026</x:v>
      </x:c>
      <x:c r="R883" t="str">
        <x:f>TEXT(B883,"yyyy-mm")</x:f>
        <x:v>2026-06</x:v>
      </x:c>
    </x:row>
    <x:row r="884">
      <x:c r="A884" t="n">
        <x:v>10337</x:v>
      </x:c>
      <x:c r="B884" s="10" t="n">
        <x:v>46186</x:v>
      </x:c>
      <x:c r="C884" t="str">
        <x:v>P005</x:v>
      </x:c>
      <x:c r="D884" t="str">
        <x:v>Desk</x:v>
      </x:c>
      <x:c r="E884" t="str">
        <x:v>Furniture</x:v>
      </x:c>
      <x:c r="F884" t="str">
        <x:v>Scotland</x:v>
      </x:c>
      <x:c r="G884" t="str">
        <x:v>Online</x:v>
      </x:c>
      <x:c r="H884" t="str">
        <x:v>Completed</x:v>
      </x:c>
      <x:c r="I884" t="n">
        <x:v>1</x:v>
      </x:c>
      <x:c r="J884" s="12" t="n">
        <x:v>276.83</x:v>
      </x:c>
      <x:c r="K884" s="12" t="n">
        <x:v>153.94</x:v>
      </x:c>
      <x:c r="L884" s="14" t="n">
        <x:v>0</x:v>
      </x:c>
      <x:c r="M884" s="12" t="n">
        <x:f>IF(H884="Completed",I884*J884*(1-L884),0)</x:f>
        <x:v>276.83</x:v>
      </x:c>
      <x:c r="N884" s="12" t="n">
        <x:f>IF(H884="Completed",I884*K884,0)</x:f>
        <x:v>153.94</x:v>
      </x:c>
      <x:c r="O884" s="12" t="n">
        <x:f>M884-N884</x:f>
        <x:v>122.88999999999999</x:v>
      </x:c>
      <x:c r="P884" s="16" t="n">
        <x:f>IFERROR(O884/M884,0)</x:f>
        <x:v>0.44391865043528517</x:v>
      </x:c>
      <x:c r="Q884" t="n">
        <x:f>YEAR(B884)</x:f>
        <x:v>2026</x:v>
      </x:c>
      <x:c r="R884" t="str">
        <x:f>TEXT(B884,"yyyy-mm")</x:f>
        <x:v>2026-06</x:v>
      </x:c>
    </x:row>
    <x:row r="885">
      <x:c r="A885" t="n">
        <x:v>10863</x:v>
      </x:c>
      <x:c r="B885" s="10" t="n">
        <x:v>46186</x:v>
      </x:c>
      <x:c r="C885" t="str">
        <x:v>P002</x:v>
      </x:c>
      <x:c r="D885" t="str">
        <x:v>Monitor</x:v>
      </x:c>
      <x:c r="E885" t="str">
        <x:v>Electronics</x:v>
      </x:c>
      <x:c r="F885" t="str">
        <x:v>Wales</x:v>
      </x:c>
      <x:c r="G885" t="str">
        <x:v>Online</x:v>
      </x:c>
      <x:c r="H885" t="str">
        <x:v>Completed</x:v>
      </x:c>
      <x:c r="I885" t="n">
        <x:v>1</x:v>
      </x:c>
      <x:c r="J885" s="12" t="n">
        <x:v>295.89</x:v>
      </x:c>
      <x:c r="K885" s="12" t="n">
        <x:v>173.24</x:v>
      </x:c>
      <x:c r="L885" s="14" t="n">
        <x:v>0</x:v>
      </x:c>
      <x:c r="M885" s="12" t="n">
        <x:f>IF(H885="Completed",I885*J885*(1-L885),0)</x:f>
        <x:v>295.89</x:v>
      </x:c>
      <x:c r="N885" s="12" t="n">
        <x:f>IF(H885="Completed",I885*K885,0)</x:f>
        <x:v>173.24</x:v>
      </x:c>
      <x:c r="O885" s="12" t="n">
        <x:f>M885-N885</x:f>
        <x:v>122.64999999999998</x:v>
      </x:c>
      <x:c r="P885" s="16" t="n">
        <x:f>IFERROR(O885/M885,0)</x:f>
        <x:v>0.41451214978539314</x:v>
      </x:c>
      <x:c r="Q885" t="n">
        <x:f>YEAR(B885)</x:f>
        <x:v>2026</x:v>
      </x:c>
      <x:c r="R885" t="str">
        <x:f>TEXT(B885,"yyyy-mm")</x:f>
        <x:v>2026-06</x:v>
      </x:c>
    </x:row>
    <x:row r="886">
      <x:c r="A886" t="n">
        <x:v>10025</x:v>
      </x:c>
      <x:c r="B886" s="10" t="n">
        <x:v>46187</x:v>
      </x:c>
      <x:c r="C886" t="str">
        <x:v>P002</x:v>
      </x:c>
      <x:c r="D886" t="str">
        <x:v>Monitor</x:v>
      </x:c>
      <x:c r="E886" t="str">
        <x:v>Electronics</x:v>
      </x:c>
      <x:c r="F886" t="str">
        <x:v>Scotland</x:v>
      </x:c>
      <x:c r="G886" t="str">
        <x:v>Partner</x:v>
      </x:c>
      <x:c r="H886" t="str">
        <x:v>Completed</x:v>
      </x:c>
      <x:c r="I886" t="n">
        <x:v>4</x:v>
      </x:c>
      <x:c r="J886" s="12" t="n">
        <x:v>289.46</x:v>
      </x:c>
      <x:c r="K886" s="12" t="n">
        <x:v>171.19</x:v>
      </x:c>
      <x:c r="L886" s="14" t="n">
        <x:v>0</x:v>
      </x:c>
      <x:c r="M886" s="12" t="n">
        <x:f>IF(H886="Completed",I886*J886*(1-L886),0)</x:f>
        <x:v>1157.84</x:v>
      </x:c>
      <x:c r="N886" s="12" t="n">
        <x:f>IF(H886="Completed",I886*K886,0)</x:f>
        <x:v>684.76</x:v>
      </x:c>
      <x:c r="O886" s="12" t="n">
        <x:f>M886-N886</x:f>
        <x:v>473.0799999999999</x:v>
      </x:c>
      <x:c r="P886" s="16" t="n">
        <x:f>IFERROR(O886/M886,0)</x:f>
        <x:v>0.4085884059973744</x:v>
      </x:c>
      <x:c r="Q886" t="n">
        <x:f>YEAR(B886)</x:f>
        <x:v>2026</x:v>
      </x:c>
      <x:c r="R886" t="str">
        <x:f>TEXT(B886,"yyyy-mm")</x:f>
        <x:v>2026-06</x:v>
      </x:c>
    </x:row>
    <x:row r="887">
      <x:c r="A887" t="n">
        <x:v>10246</x:v>
      </x:c>
      <x:c r="B887" s="10" t="n">
        <x:v>46187</x:v>
      </x:c>
      <x:c r="C887" t="str">
        <x:v>P003</x:v>
      </x:c>
      <x:c r="D887" t="str">
        <x:v>Keyboard</x:v>
      </x:c>
      <x:c r="E887" t="str">
        <x:v>Accessories</x:v>
      </x:c>
      <x:c r="F887" t="str">
        <x:v>North</x:v>
      </x:c>
      <x:c r="G887" t="str">
        <x:v>Partner</x:v>
      </x:c>
      <x:c r="H887" t="str">
        <x:v>Completed</x:v>
      </x:c>
      <x:c r="I887" t="n">
        <x:v>3</x:v>
      </x:c>
      <x:c r="J887" s="12" t="n">
        <x:v>47.97</x:v>
      </x:c>
      <x:c r="K887" s="12" t="n">
        <x:v>26.75</x:v>
      </x:c>
      <x:c r="L887" s="14" t="n">
        <x:v>0.1</x:v>
      </x:c>
      <x:c r="M887" s="12" t="n">
        <x:f>IF(H887="Completed",I887*J887*(1-L887),0)</x:f>
        <x:v>129.519</x:v>
      </x:c>
      <x:c r="N887" s="12" t="n">
        <x:f>IF(H887="Completed",I887*K887,0)</x:f>
        <x:v>80.25</x:v>
      </x:c>
      <x:c r="O887" s="12" t="n">
        <x:f>M887-N887</x:f>
        <x:v>49.269000000000005</x:v>
      </x:c>
      <x:c r="P887" s="16" t="n">
        <x:f>IFERROR(O887/M887,0)</x:f>
        <x:v>0.38039978690385196</x:v>
      </x:c>
      <x:c r="Q887" t="n">
        <x:f>YEAR(B887)</x:f>
        <x:v>2026</x:v>
      </x:c>
      <x:c r="R887" t="str">
        <x:f>TEXT(B887,"yyyy-mm")</x:f>
        <x:v>2026-06</x:v>
      </x:c>
    </x:row>
    <x:row r="888">
      <x:c r="A888" t="n">
        <x:v>10874</x:v>
      </x:c>
      <x:c r="B888" s="10" t="n">
        <x:v>46192</x:v>
      </x:c>
      <x:c r="C888" t="str">
        <x:v>P003</x:v>
      </x:c>
      <x:c r="D888" t="str">
        <x:v>Keyboard</x:v>
      </x:c>
      <x:c r="E888" t="str">
        <x:v>Accessories</x:v>
      </x:c>
      <x:c r="F888" t="str">
        <x:v>North</x:v>
      </x:c>
      <x:c r="G888" t="str">
        <x:v>Online</x:v>
      </x:c>
      <x:c r="H888" t="str">
        <x:v>Completed</x:v>
      </x:c>
      <x:c r="I888" t="n">
        <x:v>3</x:v>
      </x:c>
      <x:c r="J888" s="12" t="n">
        <x:v>48.7</x:v>
      </x:c>
      <x:c r="K888" s="12" t="n">
        <x:v>26.31</x:v>
      </x:c>
      <x:c r="L888" s="14" t="n">
        <x:v>0.1</x:v>
      </x:c>
      <x:c r="M888" s="12" t="n">
        <x:f>IF(H888="Completed",I888*J888*(1-L888),0)</x:f>
        <x:v>131.49000000000004</x:v>
      </x:c>
      <x:c r="N888" s="12" t="n">
        <x:f>IF(H888="Completed",I888*K888,0)</x:f>
        <x:v>78.92999999999999</x:v>
      </x:c>
      <x:c r="O888" s="12" t="n">
        <x:f>M888-N888</x:f>
        <x:v>52.560000000000045</x:v>
      </x:c>
      <x:c r="P888" s="16" t="n">
        <x:f>IFERROR(O888/M888,0)</x:f>
        <x:v>0.399726214921287</x:v>
      </x:c>
      <x:c r="Q888" t="n">
        <x:f>YEAR(B888)</x:f>
        <x:v>2026</x:v>
      </x:c>
      <x:c r="R888" t="str">
        <x:f>TEXT(B888,"yyyy-mm")</x:f>
        <x:v>2026-06</x:v>
      </x:c>
    </x:row>
    <x:row r="889">
      <x:c r="A889" t="n">
        <x:v>10076</x:v>
      </x:c>
      <x:c r="B889" s="10" t="n">
        <x:v>46193</x:v>
      </x:c>
      <x:c r="C889" t="str">
        <x:v>P005</x:v>
      </x:c>
      <x:c r="D889" t="str">
        <x:v>Desk</x:v>
      </x:c>
      <x:c r="E889" t="str">
        <x:v>Furniture</x:v>
      </x:c>
      <x:c r="F889" t="str">
        <x:v>South</x:v>
      </x:c>
      <x:c r="G889" t="str">
        <x:v>Online</x:v>
      </x:c>
      <x:c r="H889" t="str">
        <x:v>Completed</x:v>
      </x:c>
      <x:c r="I889" t="n">
        <x:v>1</x:v>
      </x:c>
      <x:c r="J889" s="12" t="n">
        <x:v>274.57</x:v>
      </x:c>
      <x:c r="K889" s="12" t="n">
        <x:v>156.2</x:v>
      </x:c>
      <x:c r="L889" s="14" t="n">
        <x:v>0.15</x:v>
      </x:c>
      <x:c r="M889" s="12" t="n">
        <x:f>IF(H889="Completed",I889*J889*(1-L889),0)</x:f>
        <x:v>233.38449999999997</x:v>
      </x:c>
      <x:c r="N889" s="12" t="n">
        <x:f>IF(H889="Completed",I889*K889,0)</x:f>
        <x:v>156.2</x:v>
      </x:c>
      <x:c r="O889" s="12" t="n">
        <x:f>M889-N889</x:f>
        <x:v>77.18449999999999</x:v>
      </x:c>
      <x:c r="P889" s="16" t="n">
        <x:f>IFERROR(O889/M889,0)</x:f>
        <x:v>0.3307181925106423</x:v>
      </x:c>
      <x:c r="Q889" t="n">
        <x:f>YEAR(B889)</x:f>
        <x:v>2026</x:v>
      </x:c>
      <x:c r="R889" t="str">
        <x:f>TEXT(B889,"yyyy-mm")</x:f>
        <x:v>2026-06</x:v>
      </x:c>
    </x:row>
    <x:row r="890">
      <x:c r="A890" t="n">
        <x:v>10793</x:v>
      </x:c>
      <x:c r="B890" s="10" t="n">
        <x:v>46194</x:v>
      </x:c>
      <x:c r="C890" t="str">
        <x:v>P001</x:v>
      </x:c>
      <x:c r="D890" t="str">
        <x:v>Laptop</x:v>
      </x:c>
      <x:c r="E890" t="str">
        <x:v>Electronics</x:v>
      </x:c>
      <x:c r="F890" t="str">
        <x:v>South</x:v>
      </x:c>
      <x:c r="G890" t="str">
        <x:v>Online</x:v>
      </x:c>
      <x:c r="H890" t="str">
        <x:v>Completed</x:v>
      </x:c>
      <x:c r="I890" t="n">
        <x:v>2</x:v>
      </x:c>
      <x:c r="J890" s="12" t="n">
        <x:v>952.75</x:v>
      </x:c>
      <x:c r="K890" s="12" t="n">
        <x:v>624.11</x:v>
      </x:c>
      <x:c r="L890" s="14" t="n">
        <x:v>0</x:v>
      </x:c>
      <x:c r="M890" s="12" t="n">
        <x:f>IF(H890="Completed",I890*J890*(1-L890),0)</x:f>
        <x:v>1905.5</x:v>
      </x:c>
      <x:c r="N890" s="12" t="n">
        <x:f>IF(H890="Completed",I890*K890,0)</x:f>
        <x:v>1248.22</x:v>
      </x:c>
      <x:c r="O890" s="12" t="n">
        <x:f>M890-N890</x:f>
        <x:v>657.28</x:v>
      </x:c>
      <x:c r="P890" s="16" t="n">
        <x:f>IFERROR(O890/M890,0)</x:f>
        <x:v>0.34493833639464705</x:v>
      </x:c>
      <x:c r="Q890" t="n">
        <x:f>YEAR(B890)</x:f>
        <x:v>2026</x:v>
      </x:c>
      <x:c r="R890" t="str">
        <x:f>TEXT(B890,"yyyy-mm")</x:f>
        <x:v>2026-06</x:v>
      </x:c>
    </x:row>
    <x:row r="891">
      <x:c r="A891" t="n">
        <x:v>10942</x:v>
      </x:c>
      <x:c r="B891" s="10" t="n">
        <x:v>46195</x:v>
      </x:c>
      <x:c r="C891" t="str">
        <x:v>P006</x:v>
      </x:c>
      <x:c r="D891" t="str">
        <x:v>Chair</x:v>
      </x:c>
      <x:c r="E891" t="str">
        <x:v>Furniture</x:v>
      </x:c>
      <x:c r="F891" t="str">
        <x:v>South</x:v>
      </x:c>
      <x:c r="G891" t="str">
        <x:v>Online</x:v>
      </x:c>
      <x:c r="H891" t="str">
        <x:v>Completed</x:v>
      </x:c>
      <x:c r="I891" t="n">
        <x:v>4</x:v>
      </x:c>
      <x:c r="J891" s="12" t="n">
        <x:v>137.51</x:v>
      </x:c>
      <x:c r="K891" s="12" t="n">
        <x:v>69.07</x:v>
      </x:c>
      <x:c r="L891" s="14" t="n">
        <x:v>0.1</x:v>
      </x:c>
      <x:c r="M891" s="12" t="n">
        <x:f>IF(H891="Completed",I891*J891*(1-L891),0)</x:f>
        <x:v>495.036</x:v>
      </x:c>
      <x:c r="N891" s="12" t="n">
        <x:f>IF(H891="Completed",I891*K891,0)</x:f>
        <x:v>276.28</x:v>
      </x:c>
      <x:c r="O891" s="12" t="n">
        <x:f>M891-N891</x:f>
        <x:v>218.75600000000003</x:v>
      </x:c>
      <x:c r="P891" s="16" t="n">
        <x:f>IFERROR(O891/M891,0)</x:f>
        <x:v>0.4418991750094943</x:v>
      </x:c>
      <x:c r="Q891" t="n">
        <x:f>YEAR(B891)</x:f>
        <x:v>2026</x:v>
      </x:c>
      <x:c r="R891" t="str">
        <x:f>TEXT(B891,"yyyy-mm")</x:f>
        <x:v>2026-06</x:v>
      </x:c>
    </x:row>
    <x:row r="892">
      <x:c r="A892" t="n">
        <x:v>10041</x:v>
      </x:c>
      <x:c r="B892" s="10" t="n">
        <x:v>46197</x:v>
      </x:c>
      <x:c r="C892" t="str">
        <x:v>P007</x:v>
      </x:c>
      <x:c r="D892" t="str">
        <x:v>Headset</x:v>
      </x:c>
      <x:c r="E892" t="str">
        <x:v>Accessories</x:v>
      </x:c>
      <x:c r="F892" t="str">
        <x:v>Wales</x:v>
      </x:c>
      <x:c r="G892" t="str">
        <x:v>Online</x:v>
      </x:c>
      <x:c r="H892" t="str">
        <x:v>Completed</x:v>
      </x:c>
      <x:c r="I892" t="n">
        <x:v>2</x:v>
      </x:c>
      <x:c r="J892" s="12" t="n">
        <x:v>74.28</x:v>
      </x:c>
      <x:c r="K892" s="12" t="n">
        <x:v>34.34</x:v>
      </x:c>
      <x:c r="L892" s="14" t="n">
        <x:v>0</x:v>
      </x:c>
      <x:c r="M892" s="12" t="n">
        <x:f>IF(H892="Completed",I892*J892*(1-L892),0)</x:f>
        <x:v>148.56</x:v>
      </x:c>
      <x:c r="N892" s="12" t="n">
        <x:f>IF(H892="Completed",I892*K892,0)</x:f>
        <x:v>68.68</x:v>
      </x:c>
      <x:c r="O892" s="12" t="n">
        <x:f>M892-N892</x:f>
        <x:v>79.88</x:v>
      </x:c>
      <x:c r="P892" s="16" t="n">
        <x:f>IFERROR(O892/M892,0)</x:f>
        <x:v>0.5376952073236403</x:v>
      </x:c>
      <x:c r="Q892" t="n">
        <x:f>YEAR(B892)</x:f>
        <x:v>2026</x:v>
      </x:c>
      <x:c r="R892" t="str">
        <x:f>TEXT(B892,"yyyy-mm")</x:f>
        <x:v>2026-06</x:v>
      </x:c>
    </x:row>
    <x:row r="893">
      <x:c r="A893" t="n">
        <x:v>10814</x:v>
      </x:c>
      <x:c r="B893" s="10" t="n">
        <x:v>46197</x:v>
      </x:c>
      <x:c r="C893" t="str">
        <x:v>P004</x:v>
      </x:c>
      <x:c r="D893" t="str">
        <x:v>Mouse</x:v>
      </x:c>
      <x:c r="E893" t="str">
        <x:v>Accessories</x:v>
      </x:c>
      <x:c r="F893" t="str">
        <x:v>Wales</x:v>
      </x:c>
      <x:c r="G893" t="str">
        <x:v>Partner</x:v>
      </x:c>
      <x:c r="H893" t="str">
        <x:v>Cancelled</x:v>
      </x:c>
      <x:c r="I893" t="n">
        <x:v>1</x:v>
      </x:c>
      <x:c r="J893" s="12" t="n">
        <x:v>26.62</x:v>
      </x:c>
      <x:c r="K893" s="12" t="n">
        <x:v>12.8</x:v>
      </x:c>
      <x:c r="L893" s="14" t="n">
        <x:v>0.15</x:v>
      </x:c>
      <x:c r="M893" s="12" t="n">
        <x:f>IF(H893="Completed",I893*J893*(1-L893),0)</x:f>
        <x:v>0</x:v>
      </x:c>
      <x:c r="N893" s="12" t="n">
        <x:f>IF(H893="Completed",I893*K893,0)</x:f>
        <x:v>0</x:v>
      </x:c>
      <x:c r="O893" s="12" t="n">
        <x:f>M893-N893</x:f>
        <x:v>0</x:v>
      </x:c>
      <x:c r="P893" s="16" t="n">
        <x:f>IFERROR(O893/M893,0)</x:f>
        <x:v>0</x:v>
      </x:c>
      <x:c r="Q893" t="n">
        <x:f>YEAR(B893)</x:f>
        <x:v>2026</x:v>
      </x:c>
      <x:c r="R893" t="str">
        <x:f>TEXT(B893,"yyyy-mm")</x:f>
        <x:v>2026-06</x:v>
      </x:c>
    </x:row>
    <x:row r="894">
      <x:c r="A894" t="n">
        <x:v>10125</x:v>
      </x:c>
      <x:c r="B894" s="10" t="n">
        <x:v>46198</x:v>
      </x:c>
      <x:c r="C894" t="str">
        <x:v>P007</x:v>
      </x:c>
      <x:c r="D894" t="str">
        <x:v>Headset</x:v>
      </x:c>
      <x:c r="E894" t="str">
        <x:v>Accessories</x:v>
      </x:c>
      <x:c r="F894" t="str">
        <x:v>Scotland</x:v>
      </x:c>
      <x:c r="G894" t="str">
        <x:v>Retail</x:v>
      </x:c>
      <x:c r="H894" t="str">
        <x:v>Completed</x:v>
      </x:c>
      <x:c r="I894" t="n">
        <x:v>1</x:v>
      </x:c>
      <x:c r="J894" s="12" t="n">
        <x:v>73.32</x:v>
      </x:c>
      <x:c r="K894" s="12" t="n">
        <x:v>34.68</x:v>
      </x:c>
      <x:c r="L894" s="14" t="n">
        <x:v>0</x:v>
      </x:c>
      <x:c r="M894" s="12" t="n">
        <x:f>IF(H894="Completed",I894*J894*(1-L894),0)</x:f>
        <x:v>73.32</x:v>
      </x:c>
      <x:c r="N894" s="12" t="n">
        <x:f>IF(H894="Completed",I894*K894,0)</x:f>
        <x:v>34.68</x:v>
      </x:c>
      <x:c r="O894" s="12" t="n">
        <x:f>M894-N894</x:f>
        <x:v>38.63999999999999</x:v>
      </x:c>
      <x:c r="P894" s="16" t="n">
        <x:f>IFERROR(O894/M894,0)</x:f>
        <x:v>0.5270049099836334</x:v>
      </x:c>
      <x:c r="Q894" t="n">
        <x:f>YEAR(B894)</x:f>
        <x:v>2026</x:v>
      </x:c>
      <x:c r="R894" t="str">
        <x:f>TEXT(B894,"yyyy-mm")</x:f>
        <x:v>2026-06</x:v>
      </x:c>
    </x:row>
    <x:row r="895">
      <x:c r="A895" t="n">
        <x:v>10466</x:v>
      </x:c>
      <x:c r="B895" s="10" t="n">
        <x:v>46198</x:v>
      </x:c>
      <x:c r="C895" t="str">
        <x:v>P006</x:v>
      </x:c>
      <x:c r="D895" t="str">
        <x:v>Chair</x:v>
      </x:c>
      <x:c r="E895" t="str">
        <x:v>Furniture</x:v>
      </x:c>
      <x:c r="F895" t="str">
        <x:v>Wales</x:v>
      </x:c>
      <x:c r="G895" t="str">
        <x:v>Partner</x:v>
      </x:c>
      <x:c r="H895" t="str">
        <x:v>Completed</x:v>
      </x:c>
      <x:c r="I895" t="n">
        <x:v>4</x:v>
      </x:c>
      <x:c r="J895" s="12" t="n">
        <x:v>136.06</x:v>
      </x:c>
      <x:c r="K895" s="12" t="n">
        <x:v>67.6</x:v>
      </x:c>
      <x:c r="L895" s="14" t="n">
        <x:v>0</x:v>
      </x:c>
      <x:c r="M895" s="12" t="n">
        <x:f>IF(H895="Completed",I895*J895*(1-L895),0)</x:f>
        <x:v>544.24</x:v>
      </x:c>
      <x:c r="N895" s="12" t="n">
        <x:f>IF(H895="Completed",I895*K895,0)</x:f>
        <x:v>270.4</x:v>
      </x:c>
      <x:c r="O895" s="12" t="n">
        <x:f>M895-N895</x:f>
        <x:v>273.84000000000003</x:v>
      </x:c>
      <x:c r="P895" s="16" t="n">
        <x:f>IFERROR(O895/M895,0)</x:f>
        <x:v>0.5031603704248127</x:v>
      </x:c>
      <x:c r="Q895" t="n">
        <x:f>YEAR(B895)</x:f>
        <x:v>2026</x:v>
      </x:c>
      <x:c r="R895" t="str">
        <x:f>TEXT(B895,"yyyy-mm")</x:f>
        <x:v>2026-06</x:v>
      </x:c>
    </x:row>
    <x:row r="896">
      <x:c r="A896" t="n">
        <x:v>10941</x:v>
      </x:c>
      <x:c r="B896" s="10" t="n">
        <x:v>46199</x:v>
      </x:c>
      <x:c r="C896" t="str">
        <x:v>P008</x:v>
      </x:c>
      <x:c r="D896" t="str">
        <x:v>Webcam</x:v>
      </x:c>
      <x:c r="E896" t="str">
        <x:v>Electronics</x:v>
      </x:c>
      <x:c r="F896" t="str">
        <x:v>South</x:v>
      </x:c>
      <x:c r="G896" t="str">
        <x:v>Retail</x:v>
      </x:c>
      <x:c r="H896" t="str">
        <x:v>Cancelled</x:v>
      </x:c>
      <x:c r="I896" t="n">
        <x:v>2</x:v>
      </x:c>
      <x:c r="J896" s="12" t="n">
        <x:v>87.37</x:v>
      </x:c>
      <x:c r="K896" s="12" t="n">
        <x:v>41.98</x:v>
      </x:c>
      <x:c r="L896" s="14" t="n">
        <x:v>0</x:v>
      </x:c>
      <x:c r="M896" s="12" t="n">
        <x:f>IF(H896="Completed",I896*J896*(1-L896),0)</x:f>
        <x:v>0</x:v>
      </x:c>
      <x:c r="N896" s="12" t="n">
        <x:f>IF(H896="Completed",I896*K896,0)</x:f>
        <x:v>0</x:v>
      </x:c>
      <x:c r="O896" s="12" t="n">
        <x:f>M896-N896</x:f>
        <x:v>0</x:v>
      </x:c>
      <x:c r="P896" s="16" t="n">
        <x:f>IFERROR(O896/M896,0)</x:f>
        <x:v>0</x:v>
      </x:c>
      <x:c r="Q896" t="n">
        <x:f>YEAR(B896)</x:f>
        <x:v>2026</x:v>
      </x:c>
      <x:c r="R896" t="str">
        <x:f>TEXT(B896,"yyyy-mm")</x:f>
        <x:v>2026-06</x:v>
      </x:c>
    </x:row>
    <x:row r="897">
      <x:c r="A897" t="n">
        <x:v>10108</x:v>
      </x:c>
      <x:c r="B897" s="10" t="n">
        <x:v>46200</x:v>
      </x:c>
      <x:c r="C897" t="str">
        <x:v>P008</x:v>
      </x:c>
      <x:c r="D897" t="str">
        <x:v>Webcam</x:v>
      </x:c>
      <x:c r="E897" t="str">
        <x:v>Electronics</x:v>
      </x:c>
      <x:c r="F897" t="str">
        <x:v>South</x:v>
      </x:c>
      <x:c r="G897" t="str">
        <x:v>Online</x:v>
      </x:c>
      <x:c r="H897" t="str">
        <x:v>Completed</x:v>
      </x:c>
      <x:c r="I897" t="n">
        <x:v>1</x:v>
      </x:c>
      <x:c r="J897" s="12" t="n">
        <x:v>90.98</x:v>
      </x:c>
      <x:c r="K897" s="12" t="n">
        <x:v>42.07</x:v>
      </x:c>
      <x:c r="L897" s="14" t="n">
        <x:v>0</x:v>
      </x:c>
      <x:c r="M897" s="12" t="n">
        <x:f>IF(H897="Completed",I897*J897*(1-L897),0)</x:f>
        <x:v>90.98</x:v>
      </x:c>
      <x:c r="N897" s="12" t="n">
        <x:f>IF(H897="Completed",I897*K897,0)</x:f>
        <x:v>42.07</x:v>
      </x:c>
      <x:c r="O897" s="12" t="n">
        <x:f>M897-N897</x:f>
        <x:v>48.910000000000004</x:v>
      </x:c>
      <x:c r="P897" s="16" t="n">
        <x:f>IFERROR(O897/M897,0)</x:f>
        <x:v>0.5375906792701692</x:v>
      </x:c>
      <x:c r="Q897" t="n">
        <x:f>YEAR(B897)</x:f>
        <x:v>2026</x:v>
      </x:c>
      <x:c r="R897" t="str">
        <x:f>TEXT(B897,"yyyy-mm")</x:f>
        <x:v>2026-06</x:v>
      </x:c>
    </x:row>
    <x:row r="898">
      <x:c r="A898" t="n">
        <x:v>10724</x:v>
      </x:c>
      <x:c r="B898" s="10" t="n">
        <x:v>46201</x:v>
      </x:c>
      <x:c r="C898" t="str">
        <x:v>P001</x:v>
      </x:c>
      <x:c r="D898" t="str">
        <x:v>Laptop</x:v>
      </x:c>
      <x:c r="E898" t="str">
        <x:v>Electronics</x:v>
      </x:c>
      <x:c r="F898" t="str">
        <x:v>Midlands</x:v>
      </x:c>
      <x:c r="G898" t="str">
        <x:v>Online</x:v>
      </x:c>
      <x:c r="H898" t="str">
        <x:v>Completed</x:v>
      </x:c>
      <x:c r="I898" t="n">
        <x:v>1</x:v>
      </x:c>
      <x:c r="J898" s="12" t="n">
        <x:v>916</x:v>
      </x:c>
      <x:c r="K898" s="12" t="n">
        <x:v>627.69</x:v>
      </x:c>
      <x:c r="L898" s="14" t="n">
        <x:v>0</x:v>
      </x:c>
      <x:c r="M898" s="12" t="n">
        <x:f>IF(H898="Completed",I898*J898*(1-L898),0)</x:f>
        <x:v>916</x:v>
      </x:c>
      <x:c r="N898" s="12" t="n">
        <x:f>IF(H898="Completed",I898*K898,0)</x:f>
        <x:v>627.69</x:v>
      </x:c>
      <x:c r="O898" s="12" t="n">
        <x:f>M898-N898</x:f>
        <x:v>288.30999999999995</x:v>
      </x:c>
      <x:c r="P898" s="16" t="n">
        <x:f>IFERROR(O898/M898,0)</x:f>
        <x:v>0.3147489082969432</x:v>
      </x:c>
      <x:c r="Q898" t="n">
        <x:f>YEAR(B898)</x:f>
        <x:v>2026</x:v>
      </x:c>
      <x:c r="R898" t="str">
        <x:f>TEXT(B898,"yyyy-mm")</x:f>
        <x:v>2026-06</x:v>
      </x:c>
    </x:row>
    <x:row r="899">
      <x:c r="A899" t="n">
        <x:v>10431</x:v>
      </x:c>
      <x:c r="B899" s="10" t="n">
        <x:v>46203</x:v>
      </x:c>
      <x:c r="C899" t="str">
        <x:v>P001</x:v>
      </x:c>
      <x:c r="D899" t="str">
        <x:v>Laptop</x:v>
      </x:c>
      <x:c r="E899" t="str">
        <x:v>Electronics</x:v>
      </x:c>
      <x:c r="F899" t="str">
        <x:v>Scotland</x:v>
      </x:c>
      <x:c r="G899" t="str">
        <x:v>Retail</x:v>
      </x:c>
      <x:c r="H899" t="str">
        <x:v>Completed</x:v>
      </x:c>
      <x:c r="I899" t="n">
        <x:v>1</x:v>
      </x:c>
      <x:c r="J899" s="12" t="n">
        <x:v>915.42</x:v>
      </x:c>
      <x:c r="K899" s="12" t="n">
        <x:v>621.17</x:v>
      </x:c>
      <x:c r="L899" s="14" t="n">
        <x:v>0</x:v>
      </x:c>
      <x:c r="M899" s="12" t="n">
        <x:f>IF(H899="Completed",I899*J899*(1-L899),0)</x:f>
        <x:v>915.42</x:v>
      </x:c>
      <x:c r="N899" s="12" t="n">
        <x:f>IF(H899="Completed",I899*K899,0)</x:f>
        <x:v>621.17</x:v>
      </x:c>
      <x:c r="O899" s="12" t="n">
        <x:f>M899-N899</x:f>
        <x:v>294.25</x:v>
      </x:c>
      <x:c r="P899" s="16" t="n">
        <x:f>IFERROR(O899/M899,0)</x:f>
        <x:v>0.32143715453016103</x:v>
      </x:c>
      <x:c r="Q899" t="n">
        <x:f>YEAR(B899)</x:f>
        <x:v>2026</x:v>
      </x:c>
      <x:c r="R899" t="str">
        <x:f>TEXT(B899,"yyyy-mm")</x:f>
        <x:v>2026-06</x:v>
      </x:c>
    </x:row>
    <x:row r="900">
      <x:c r="A900" t="n">
        <x:v>10712</x:v>
      </x:c>
      <x:c r="B900" s="10" t="n">
        <x:v>46203</x:v>
      </x:c>
      <x:c r="C900" t="str">
        <x:v>P007</x:v>
      </x:c>
      <x:c r="D900" t="str">
        <x:v>Headset</x:v>
      </x:c>
      <x:c r="E900" t="str">
        <x:v>Accessories</x:v>
      </x:c>
      <x:c r="F900" t="str">
        <x:v>North</x:v>
      </x:c>
      <x:c r="G900" t="str">
        <x:v>Retail</x:v>
      </x:c>
      <x:c r="H900" t="str">
        <x:v>Completed</x:v>
      </x:c>
      <x:c r="I900" t="n">
        <x:v>2</x:v>
      </x:c>
      <x:c r="J900" s="12" t="n">
        <x:v>71.72</x:v>
      </x:c>
      <x:c r="K900" s="12" t="n">
        <x:v>35.1</x:v>
      </x:c>
      <x:c r="L900" s="14" t="n">
        <x:v>0.05</x:v>
      </x:c>
      <x:c r="M900" s="12" t="n">
        <x:f>IF(H900="Completed",I900*J900*(1-L900),0)</x:f>
        <x:v>136.268</x:v>
      </x:c>
      <x:c r="N900" s="12" t="n">
        <x:f>IF(H900="Completed",I900*K900,0)</x:f>
        <x:v>70.2</x:v>
      </x:c>
      <x:c r="O900" s="12" t="n">
        <x:f>M900-N900</x:f>
        <x:v>66.068</x:v>
      </x:c>
      <x:c r="P900" s="16" t="n">
        <x:f>IFERROR(O900/M900,0)</x:f>
        <x:v>0.4848387002084128</x:v>
      </x:c>
      <x:c r="Q900" t="n">
        <x:f>YEAR(B900)</x:f>
        <x:v>2026</x:v>
      </x:c>
      <x:c r="R900" t="str">
        <x:f>TEXT(B900,"yyyy-mm")</x:f>
        <x:v>2026-06</x:v>
      </x:c>
    </x:row>
    <x:row r="901">
      <x:c r="A901" t="n">
        <x:v>10407</x:v>
      </x:c>
      <x:c r="B901" s="10" t="n">
        <x:v>46205</x:v>
      </x:c>
      <x:c r="C901" t="str">
        <x:v>P005</x:v>
      </x:c>
      <x:c r="D901" t="str">
        <x:v>Desk</x:v>
      </x:c>
      <x:c r="E901" t="str">
        <x:v>Furniture</x:v>
      </x:c>
      <x:c r="F901" t="str">
        <x:v>North</x:v>
      </x:c>
      <x:c r="G901" t="str">
        <x:v>Retail</x:v>
      </x:c>
      <x:c r="H901" t="str">
        <x:v>Completed</x:v>
      </x:c>
      <x:c r="I901" t="n">
        <x:v>2</x:v>
      </x:c>
      <x:c r="J901" s="12" t="n">
        <x:v>274.53</x:v>
      </x:c>
      <x:c r="K901" s="12" t="n">
        <x:v>154.38</x:v>
      </x:c>
      <x:c r="L901" s="14" t="n">
        <x:v>0.1</x:v>
      </x:c>
      <x:c r="M901" s="12" t="n">
        <x:f>IF(H901="Completed",I901*J901*(1-L901),0)</x:f>
        <x:v>494.15399999999994</x:v>
      </x:c>
      <x:c r="N901" s="12" t="n">
        <x:f>IF(H901="Completed",I901*K901,0)</x:f>
        <x:v>308.76</x:v>
      </x:c>
      <x:c r="O901" s="12" t="n">
        <x:f>M901-N901</x:f>
        <x:v>185.39399999999995</x:v>
      </x:c>
      <x:c r="P901" s="16" t="n">
        <x:f>IFERROR(O901/M901,0)</x:f>
        <x:v>0.37517454073021766</x:v>
      </x:c>
      <x:c r="Q901" t="n">
        <x:f>YEAR(B901)</x:f>
        <x:v>2026</x:v>
      </x:c>
      <x:c r="R901" t="str">
        <x:f>TEXT(B901,"yyyy-mm")</x:f>
        <x:v>2026-07</x:v>
      </x:c>
    </x:row>
    <x:row r="902">
      <x:c r="A902" t="n">
        <x:v>10823</x:v>
      </x:c>
      <x:c r="B902" s="10" t="n">
        <x:v>46205</x:v>
      </x:c>
      <x:c r="C902" t="str">
        <x:v>P001</x:v>
      </x:c>
      <x:c r="D902" t="str">
        <x:v>Laptop</x:v>
      </x:c>
      <x:c r="E902" t="str">
        <x:v>Electronics</x:v>
      </x:c>
      <x:c r="F902" t="str">
        <x:v>Midlands</x:v>
      </x:c>
      <x:c r="G902" t="str">
        <x:v>Online</x:v>
      </x:c>
      <x:c r="H902" t="str">
        <x:v>Completed</x:v>
      </x:c>
      <x:c r="I902" t="n">
        <x:v>2</x:v>
      </x:c>
      <x:c r="J902" s="12" t="n">
        <x:v>900.9</x:v>
      </x:c>
      <x:c r="K902" s="12" t="n">
        <x:v>617.44</x:v>
      </x:c>
      <x:c r="L902" s="14" t="n">
        <x:v>0.05</x:v>
      </x:c>
      <x:c r="M902" s="12" t="n">
        <x:f>IF(H902="Completed",I902*J902*(1-L902),0)</x:f>
        <x:v>1711.7099999999998</x:v>
      </x:c>
      <x:c r="N902" s="12" t="n">
        <x:f>IF(H902="Completed",I902*K902,0)</x:f>
        <x:v>1234.88</x:v>
      </x:c>
      <x:c r="O902" s="12" t="n">
        <x:f>M902-N902</x:f>
        <x:v>476.8299999999997</x:v>
      </x:c>
      <x:c r="P902" s="16" t="n">
        <x:f>IFERROR(O902/M902,0)</x:f>
        <x:v>0.2785693838325416</x:v>
      </x:c>
      <x:c r="Q902" t="n">
        <x:f>YEAR(B902)</x:f>
        <x:v>2026</x:v>
      </x:c>
      <x:c r="R902" t="str">
        <x:f>TEXT(B902,"yyyy-mm")</x:f>
        <x:v>2026-07</x:v>
      </x:c>
    </x:row>
    <x:row r="903">
      <x:c r="A903" t="n">
        <x:v>10855</x:v>
      </x:c>
      <x:c r="B903" s="10" t="n">
        <x:v>46206</x:v>
      </x:c>
      <x:c r="C903" t="str">
        <x:v>P007</x:v>
      </x:c>
      <x:c r="D903" t="str">
        <x:v>Headset</x:v>
      </x:c>
      <x:c r="E903" t="str">
        <x:v>Accessories</x:v>
      </x:c>
      <x:c r="F903" t="str">
        <x:v>North</x:v>
      </x:c>
      <x:c r="G903" t="str">
        <x:v>Retail</x:v>
      </x:c>
      <x:c r="H903" t="str">
        <x:v>Completed</x:v>
      </x:c>
      <x:c r="I903" t="n">
        <x:v>4</x:v>
      </x:c>
      <x:c r="J903" s="12" t="n">
        <x:v>73.36</x:v>
      </x:c>
      <x:c r="K903" s="12" t="n">
        <x:v>34.34</x:v>
      </x:c>
      <x:c r="L903" s="14" t="n">
        <x:v>0.05</x:v>
      </x:c>
      <x:c r="M903" s="12" t="n">
        <x:f>IF(H903="Completed",I903*J903*(1-L903),0)</x:f>
        <x:v>278.768</x:v>
      </x:c>
      <x:c r="N903" s="12" t="n">
        <x:f>IF(H903="Completed",I903*K903,0)</x:f>
        <x:v>137.36</x:v>
      </x:c>
      <x:c r="O903" s="12" t="n">
        <x:f>M903-N903</x:f>
        <x:v>141.40799999999996</x:v>
      </x:c>
      <x:c r="P903" s="16" t="n">
        <x:f>IFERROR(O903/M903,0)</x:f>
        <x:v>0.5072605177064798</x:v>
      </x:c>
      <x:c r="Q903" t="n">
        <x:f>YEAR(B903)</x:f>
        <x:v>2026</x:v>
      </x:c>
      <x:c r="R903" t="str">
        <x:f>TEXT(B903,"yyyy-mm")</x:f>
        <x:v>2026-07</x:v>
      </x:c>
    </x:row>
    <x:row r="904">
      <x:c r="A904" t="n">
        <x:v>10897</x:v>
      </x:c>
      <x:c r="B904" s="10" t="n">
        <x:v>46206</x:v>
      </x:c>
      <x:c r="C904" t="str">
        <x:v>P006</x:v>
      </x:c>
      <x:c r="D904" t="str">
        <x:v>Chair</x:v>
      </x:c>
      <x:c r="E904" t="str">
        <x:v>Furniture</x:v>
      </x:c>
      <x:c r="F904" t="str">
        <x:v>Midlands</x:v>
      </x:c>
      <x:c r="G904" t="str">
        <x:v>Retail</x:v>
      </x:c>
      <x:c r="H904" t="str">
        <x:v>Completed</x:v>
      </x:c>
      <x:c r="I904" t="n">
        <x:v>3</x:v>
      </x:c>
      <x:c r="J904" s="12" t="n">
        <x:v>132.86</x:v>
      </x:c>
      <x:c r="K904" s="12" t="n">
        <x:v>69.2</x:v>
      </x:c>
      <x:c r="L904" s="14" t="n">
        <x:v>0</x:v>
      </x:c>
      <x:c r="M904" s="12" t="n">
        <x:f>IF(H904="Completed",I904*J904*(1-L904),0)</x:f>
        <x:v>398.58000000000004</x:v>
      </x:c>
      <x:c r="N904" s="12" t="n">
        <x:f>IF(H904="Completed",I904*K904,0)</x:f>
        <x:v>207.60000000000002</x:v>
      </x:c>
      <x:c r="O904" s="12" t="n">
        <x:f>M904-N904</x:f>
        <x:v>190.98000000000002</x:v>
      </x:c>
      <x:c r="P904" s="16" t="n">
        <x:f>IFERROR(O904/M904,0)</x:f>
        <x:v>0.47915098600030104</x:v>
      </x:c>
      <x:c r="Q904" t="n">
        <x:f>YEAR(B904)</x:f>
        <x:v>2026</x:v>
      </x:c>
      <x:c r="R904" t="str">
        <x:f>TEXT(B904,"yyyy-mm")</x:f>
        <x:v>2026-07</x:v>
      </x:c>
    </x:row>
    <x:row r="905">
      <x:c r="A905" t="n">
        <x:v>10605</x:v>
      </x:c>
      <x:c r="B905" s="10" t="n">
        <x:v>46207</x:v>
      </x:c>
      <x:c r="C905" t="str">
        <x:v>P005</x:v>
      </x:c>
      <x:c r="D905" t="str">
        <x:v>Desk</x:v>
      </x:c>
      <x:c r="E905" t="str">
        <x:v>Furniture</x:v>
      </x:c>
      <x:c r="F905" t="str">
        <x:v>Scotland</x:v>
      </x:c>
      <x:c r="G905" t="str">
        <x:v>Online</x:v>
      </x:c>
      <x:c r="H905" t="str">
        <x:v>Completed</x:v>
      </x:c>
      <x:c r="I905" t="n">
        <x:v>2</x:v>
      </x:c>
      <x:c r="J905" s="12" t="n">
        <x:v>281.43</x:v>
      </x:c>
      <x:c r="K905" s="12" t="n">
        <x:v>156.64</x:v>
      </x:c>
      <x:c r="L905" s="14" t="n">
        <x:v>0</x:v>
      </x:c>
      <x:c r="M905" s="12" t="n">
        <x:f>IF(H905="Completed",I905*J905*(1-L905),0)</x:f>
        <x:v>562.86</x:v>
      </x:c>
      <x:c r="N905" s="12" t="n">
        <x:f>IF(H905="Completed",I905*K905,0)</x:f>
        <x:v>313.28</x:v>
      </x:c>
      <x:c r="O905" s="12" t="n">
        <x:f>M905-N905</x:f>
        <x:v>249.58000000000004</x:v>
      </x:c>
      <x:c r="P905" s="16" t="n">
        <x:f>IFERROR(O905/M905,0)</x:f>
        <x:v>0.44341399282237154</x:v>
      </x:c>
      <x:c r="Q905" t="n">
        <x:f>YEAR(B905)</x:f>
        <x:v>2026</x:v>
      </x:c>
      <x:c r="R905" t="str">
        <x:f>TEXT(B905,"yyyy-mm")</x:f>
        <x:v>2026-07</x:v>
      </x:c>
    </x:row>
    <x:row r="906">
      <x:c r="A906" t="n">
        <x:v>10663</x:v>
      </x:c>
      <x:c r="B906" s="10" t="n">
        <x:v>46207</x:v>
      </x:c>
      <x:c r="C906" t="str">
        <x:v>P007</x:v>
      </x:c>
      <x:c r="D906" t="str">
        <x:v>Headset</x:v>
      </x:c>
      <x:c r="E906" t="str">
        <x:v>Accessories</x:v>
      </x:c>
      <x:c r="F906" t="str">
        <x:v>Midlands</x:v>
      </x:c>
      <x:c r="G906" t="str">
        <x:v>Online</x:v>
      </x:c>
      <x:c r="H906" t="str">
        <x:v>Completed</x:v>
      </x:c>
      <x:c r="I906" t="n">
        <x:v>2</x:v>
      </x:c>
      <x:c r="J906" s="12" t="n">
        <x:v>71.63</x:v>
      </x:c>
      <x:c r="K906" s="12" t="n">
        <x:v>34.63</x:v>
      </x:c>
      <x:c r="L906" s="14" t="n">
        <x:v>0.05</x:v>
      </x:c>
      <x:c r="M906" s="12" t="n">
        <x:f>IF(H906="Completed",I906*J906*(1-L906),0)</x:f>
        <x:v>136.09699999999998</x:v>
      </x:c>
      <x:c r="N906" s="12" t="n">
        <x:f>IF(H906="Completed",I906*K906,0)</x:f>
        <x:v>69.26</x:v>
      </x:c>
      <x:c r="O906" s="12" t="n">
        <x:f>M906-N906</x:f>
        <x:v>66.83699999999997</x:v>
      </x:c>
      <x:c r="P906" s="16" t="n">
        <x:f>IFERROR(O906/M906,0)</x:f>
        <x:v>0.49109826079928276</x:v>
      </x:c>
      <x:c r="Q906" t="n">
        <x:f>YEAR(B906)</x:f>
        <x:v>2026</x:v>
      </x:c>
      <x:c r="R906" t="str">
        <x:f>TEXT(B906,"yyyy-mm")</x:f>
        <x:v>2026-07</x:v>
      </x:c>
    </x:row>
    <x:row r="907">
      <x:c r="A907" t="n">
        <x:v>10237</x:v>
      </x:c>
      <x:c r="B907" s="10" t="n">
        <x:v>46208</x:v>
      </x:c>
      <x:c r="C907" t="str">
        <x:v>P005</x:v>
      </x:c>
      <x:c r="D907" t="str">
        <x:v>Desk</x:v>
      </x:c>
      <x:c r="E907" t="str">
        <x:v>Furniture</x:v>
      </x:c>
      <x:c r="F907" t="str">
        <x:v>South</x:v>
      </x:c>
      <x:c r="G907" t="str">
        <x:v>Partner</x:v>
      </x:c>
      <x:c r="H907" t="str">
        <x:v>Completed</x:v>
      </x:c>
      <x:c r="I907" t="n">
        <x:v>1</x:v>
      </x:c>
      <x:c r="J907" s="12" t="n">
        <x:v>271</x:v>
      </x:c>
      <x:c r="K907" s="12" t="n">
        <x:v>159.32</x:v>
      </x:c>
      <x:c r="L907" s="14" t="n">
        <x:v>0.1</x:v>
      </x:c>
      <x:c r="M907" s="12" t="n">
        <x:f>IF(H907="Completed",I907*J907*(1-L907),0)</x:f>
        <x:v>243.9</x:v>
      </x:c>
      <x:c r="N907" s="12" t="n">
        <x:f>IF(H907="Completed",I907*K907,0)</x:f>
        <x:v>159.32</x:v>
      </x:c>
      <x:c r="O907" s="12" t="n">
        <x:f>M907-N907</x:f>
        <x:v>84.58000000000001</x:v>
      </x:c>
      <x:c r="P907" s="16" t="n">
        <x:f>IFERROR(O907/M907,0)</x:f>
        <x:v>0.34678146781467817</x:v>
      </x:c>
      <x:c r="Q907" t="n">
        <x:f>YEAR(B907)</x:f>
        <x:v>2026</x:v>
      </x:c>
      <x:c r="R907" t="str">
        <x:f>TEXT(B907,"yyyy-mm")</x:f>
        <x:v>2026-07</x:v>
      </x:c>
    </x:row>
    <x:row r="908">
      <x:c r="A908" t="n">
        <x:v>10058</x:v>
      </x:c>
      <x:c r="B908" s="10" t="n">
        <x:v>46210</x:v>
      </x:c>
      <x:c r="C908" t="str">
        <x:v>P003</x:v>
      </x:c>
      <x:c r="D908" t="str">
        <x:v>Keyboard</x:v>
      </x:c>
      <x:c r="E908" t="str">
        <x:v>Accessories</x:v>
      </x:c>
      <x:c r="F908" t="str">
        <x:v>Midlands</x:v>
      </x:c>
      <x:c r="G908" t="str">
        <x:v>Retail</x:v>
      </x:c>
      <x:c r="H908" t="str">
        <x:v>Completed</x:v>
      </x:c>
      <x:c r="I908" t="n">
        <x:v>4</x:v>
      </x:c>
      <x:c r="J908" s="12" t="n">
        <x:v>49.19</x:v>
      </x:c>
      <x:c r="K908" s="12" t="n">
        <x:v>25.79</x:v>
      </x:c>
      <x:c r="L908" s="14" t="n">
        <x:v>0.1</x:v>
      </x:c>
      <x:c r="M908" s="12" t="n">
        <x:f>IF(H908="Completed",I908*J908*(1-L908),0)</x:f>
        <x:v>177.084</x:v>
      </x:c>
      <x:c r="N908" s="12" t="n">
        <x:f>IF(H908="Completed",I908*K908,0)</x:f>
        <x:v>103.16</x:v>
      </x:c>
      <x:c r="O908" s="12" t="n">
        <x:f>M908-N908</x:f>
        <x:v>73.924</x:v>
      </x:c>
      <x:c r="P908" s="16" t="n">
        <x:f>IFERROR(O908/M908,0)</x:f>
        <x:v>0.41745160488807576</x:v>
      </x:c>
      <x:c r="Q908" t="n">
        <x:f>YEAR(B908)</x:f>
        <x:v>2026</x:v>
      </x:c>
      <x:c r="R908" t="str">
        <x:f>TEXT(B908,"yyyy-mm")</x:f>
        <x:v>2026-07</x:v>
      </x:c>
    </x:row>
    <x:row r="909">
      <x:c r="A909" t="n">
        <x:v>10491</x:v>
      </x:c>
      <x:c r="B909" s="10" t="n">
        <x:v>46211</x:v>
      </x:c>
      <x:c r="C909" t="str">
        <x:v>P002</x:v>
      </x:c>
      <x:c r="D909" t="str">
        <x:v>Monitor</x:v>
      </x:c>
      <x:c r="E909" t="str">
        <x:v>Electronics</x:v>
      </x:c>
      <x:c r="F909" t="str">
        <x:v>Midlands</x:v>
      </x:c>
      <x:c r="G909" t="str">
        <x:v>Partner</x:v>
      </x:c>
      <x:c r="H909" t="str">
        <x:v>Cancelled</x:v>
      </x:c>
      <x:c r="I909" t="n">
        <x:v>3</x:v>
      </x:c>
      <x:c r="J909" s="12" t="n">
        <x:v>283.49</x:v>
      </x:c>
      <x:c r="K909" s="12" t="n">
        <x:v>173.98</x:v>
      </x:c>
      <x:c r="L909" s="14" t="n">
        <x:v>0.05</x:v>
      </x:c>
      <x:c r="M909" s="12" t="n">
        <x:f>IF(H909="Completed",I909*J909*(1-L909),0)</x:f>
        <x:v>0</x:v>
      </x:c>
      <x:c r="N909" s="12" t="n">
        <x:f>IF(H909="Completed",I909*K909,0)</x:f>
        <x:v>0</x:v>
      </x:c>
      <x:c r="O909" s="12" t="n">
        <x:f>M909-N909</x:f>
        <x:v>0</x:v>
      </x:c>
      <x:c r="P909" s="16" t="n">
        <x:f>IFERROR(O909/M909,0)</x:f>
        <x:v>0</x:v>
      </x:c>
      <x:c r="Q909" t="n">
        <x:f>YEAR(B909)</x:f>
        <x:v>2026</x:v>
      </x:c>
      <x:c r="R909" t="str">
        <x:f>TEXT(B909,"yyyy-mm")</x:f>
        <x:v>2026-07</x:v>
      </x:c>
    </x:row>
    <x:row r="910">
      <x:c r="A910" t="n">
        <x:v>10625</x:v>
      </x:c>
      <x:c r="B910" s="10" t="n">
        <x:v>46211</x:v>
      </x:c>
      <x:c r="C910" t="str">
        <x:v>P007</x:v>
      </x:c>
      <x:c r="D910" t="str">
        <x:v>Headset</x:v>
      </x:c>
      <x:c r="E910" t="str">
        <x:v>Accessories</x:v>
      </x:c>
      <x:c r="F910" t="str">
        <x:v>Scotland</x:v>
      </x:c>
      <x:c r="G910" t="str">
        <x:v>Retail</x:v>
      </x:c>
      <x:c r="H910" t="str">
        <x:v>Completed</x:v>
      </x:c>
      <x:c r="I910" t="n">
        <x:v>1</x:v>
      </x:c>
      <x:c r="J910" s="12" t="n">
        <x:v>72.21</x:v>
      </x:c>
      <x:c r="K910" s="12" t="n">
        <x:v>34.51</x:v>
      </x:c>
      <x:c r="L910" s="14" t="n">
        <x:v>0</x:v>
      </x:c>
      <x:c r="M910" s="12" t="n">
        <x:f>IF(H910="Completed",I910*J910*(1-L910),0)</x:f>
        <x:v>72.21</x:v>
      </x:c>
      <x:c r="N910" s="12" t="n">
        <x:f>IF(H910="Completed",I910*K910,0)</x:f>
        <x:v>34.51</x:v>
      </x:c>
      <x:c r="O910" s="12" t="n">
        <x:f>M910-N910</x:f>
        <x:v>37.699999999999996</x:v>
      </x:c>
      <x:c r="P910" s="16" t="n">
        <x:f>IFERROR(O910/M910,0)</x:f>
        <x:v>0.5220883534136546</x:v>
      </x:c>
      <x:c r="Q910" t="n">
        <x:f>YEAR(B910)</x:f>
        <x:v>2026</x:v>
      </x:c>
      <x:c r="R910" t="str">
        <x:f>TEXT(B910,"yyyy-mm")</x:f>
        <x:v>2026-07</x:v>
      </x:c>
    </x:row>
    <x:row r="911">
      <x:c r="A911" t="n">
        <x:v>10746</x:v>
      </x:c>
      <x:c r="B911" s="10" t="n">
        <x:v>46211</x:v>
      </x:c>
      <x:c r="C911" t="str">
        <x:v>P007</x:v>
      </x:c>
      <x:c r="D911" t="str">
        <x:v>Headset</x:v>
      </x:c>
      <x:c r="E911" t="str">
        <x:v>Accessories</x:v>
      </x:c>
      <x:c r="F911" t="str">
        <x:v>North</x:v>
      </x:c>
      <x:c r="G911" t="str">
        <x:v>Retail</x:v>
      </x:c>
      <x:c r="H911" t="str">
        <x:v>Completed</x:v>
      </x:c>
      <x:c r="I911" t="n">
        <x:v>4</x:v>
      </x:c>
      <x:c r="J911" s="12" t="n">
        <x:v>70.89</x:v>
      </x:c>
      <x:c r="K911" s="12" t="n">
        <x:v>35.13</x:v>
      </x:c>
      <x:c r="L911" s="14" t="n">
        <x:v>0</x:v>
      </x:c>
      <x:c r="M911" s="12" t="n">
        <x:f>IF(H911="Completed",I911*J911*(1-L911),0)</x:f>
        <x:v>283.56</x:v>
      </x:c>
      <x:c r="N911" s="12" t="n">
        <x:f>IF(H911="Completed",I911*K911,0)</x:f>
        <x:v>140.52</x:v>
      </x:c>
      <x:c r="O911" s="12" t="n">
        <x:f>M911-N911</x:f>
        <x:v>143.04</x:v>
      </x:c>
      <x:c r="P911" s="16" t="n">
        <x:f>IFERROR(O911/M911,0)</x:f>
        <x:v>0.5044435040203131</x:v>
      </x:c>
      <x:c r="Q911" t="n">
        <x:f>YEAR(B911)</x:f>
        <x:v>2026</x:v>
      </x:c>
      <x:c r="R911" t="str">
        <x:f>TEXT(B911,"yyyy-mm")</x:f>
        <x:v>2026-07</x:v>
      </x:c>
    </x:row>
    <x:row r="912">
      <x:c r="A912" t="n">
        <x:v>10047</x:v>
      </x:c>
      <x:c r="B912" s="10" t="n">
        <x:v>46213</x:v>
      </x:c>
      <x:c r="C912" t="str">
        <x:v>P004</x:v>
      </x:c>
      <x:c r="D912" t="str">
        <x:v>Mouse</x:v>
      </x:c>
      <x:c r="E912" t="str">
        <x:v>Accessories</x:v>
      </x:c>
      <x:c r="F912" t="str">
        <x:v>North</x:v>
      </x:c>
      <x:c r="G912" t="str">
        <x:v>Online</x:v>
      </x:c>
      <x:c r="H912" t="str">
        <x:v>Cancelled</x:v>
      </x:c>
      <x:c r="I912" t="n">
        <x:v>3</x:v>
      </x:c>
      <x:c r="J912" s="12" t="n">
        <x:v>27.49</x:v>
      </x:c>
      <x:c r="K912" s="12" t="n">
        <x:v>13.35</x:v>
      </x:c>
      <x:c r="L912" s="14" t="n">
        <x:v>0.1</x:v>
      </x:c>
      <x:c r="M912" s="12" t="n">
        <x:f>IF(H912="Completed",I912*J912*(1-L912),0)</x:f>
        <x:v>0</x:v>
      </x:c>
      <x:c r="N912" s="12" t="n">
        <x:f>IF(H912="Completed",I912*K912,0)</x:f>
        <x:v>0</x:v>
      </x:c>
      <x:c r="O912" s="12" t="n">
        <x:f>M912-N912</x:f>
        <x:v>0</x:v>
      </x:c>
      <x:c r="P912" s="16" t="n">
        <x:f>IFERROR(O912/M912,0)</x:f>
        <x:v>0</x:v>
      </x:c>
      <x:c r="Q912" t="n">
        <x:f>YEAR(B912)</x:f>
        <x:v>2026</x:v>
      </x:c>
      <x:c r="R912" t="str">
        <x:f>TEXT(B912,"yyyy-mm")</x:f>
        <x:v>2026-07</x:v>
      </x:c>
    </x:row>
    <x:row r="913">
      <x:c r="A913" t="n">
        <x:v>10272</x:v>
      </x:c>
      <x:c r="B913" s="10" t="n">
        <x:v>46214</x:v>
      </x:c>
      <x:c r="C913" t="str">
        <x:v>P008</x:v>
      </x:c>
      <x:c r="D913" t="str">
        <x:v>Webcam</x:v>
      </x:c>
      <x:c r="E913" t="str">
        <x:v>Electronics</x:v>
      </x:c>
      <x:c r="F913" t="str">
        <x:v>North</x:v>
      </x:c>
      <x:c r="G913" t="str">
        <x:v>Online</x:v>
      </x:c>
      <x:c r="H913" t="str">
        <x:v>Completed</x:v>
      </x:c>
      <x:c r="I913" t="n">
        <x:v>3</x:v>
      </x:c>
      <x:c r="J913" s="12" t="n">
        <x:v>89.84</x:v>
      </x:c>
      <x:c r="K913" s="12" t="n">
        <x:v>41.23</x:v>
      </x:c>
      <x:c r="L913" s="14" t="n">
        <x:v>0.1</x:v>
      </x:c>
      <x:c r="M913" s="12" t="n">
        <x:f>IF(H913="Completed",I913*J913*(1-L913),0)</x:f>
        <x:v>242.56799999999998</x:v>
      </x:c>
      <x:c r="N913" s="12" t="n">
        <x:f>IF(H913="Completed",I913*K913,0)</x:f>
        <x:v>123.69</x:v>
      </x:c>
      <x:c r="O913" s="12" t="n">
        <x:f>M913-N913</x:f>
        <x:v>118.87799999999999</x:v>
      </x:c>
      <x:c r="P913" s="16" t="n">
        <x:f>IFERROR(O913/M913,0)</x:f>
        <x:v>0.49008113188878993</x:v>
      </x:c>
      <x:c r="Q913" t="n">
        <x:f>YEAR(B913)</x:f>
        <x:v>2026</x:v>
      </x:c>
      <x:c r="R913" t="str">
        <x:f>TEXT(B913,"yyyy-mm")</x:f>
        <x:v>2026-07</x:v>
      </x:c>
    </x:row>
    <x:row r="914">
      <x:c r="A914" t="n">
        <x:v>10342</x:v>
      </x:c>
      <x:c r="B914" s="10" t="n">
        <x:v>46215</x:v>
      </x:c>
      <x:c r="C914" t="str">
        <x:v>P001</x:v>
      </x:c>
      <x:c r="D914" t="str">
        <x:v>Laptop</x:v>
      </x:c>
      <x:c r="E914" t="str">
        <x:v>Electronics</x:v>
      </x:c>
      <x:c r="F914" t="str">
        <x:v>North</x:v>
      </x:c>
      <x:c r="G914" t="str">
        <x:v>Online</x:v>
      </x:c>
      <x:c r="H914" t="str">
        <x:v>Completed</x:v>
      </x:c>
      <x:c r="I914" t="n">
        <x:v>2</x:v>
      </x:c>
      <x:c r="J914" s="12" t="n">
        <x:v>896.84</x:v>
      </x:c>
      <x:c r="K914" s="12" t="n">
        <x:v>622.02</x:v>
      </x:c>
      <x:c r="L914" s="14" t="n">
        <x:v>0.05</x:v>
      </x:c>
      <x:c r="M914" s="12" t="n">
        <x:f>IF(H914="Completed",I914*J914*(1-L914),0)</x:f>
        <x:v>1703.9959999999999</x:v>
      </x:c>
      <x:c r="N914" s="12" t="n">
        <x:f>IF(H914="Completed",I914*K914,0)</x:f>
        <x:v>1244.04</x:v>
      </x:c>
      <x:c r="O914" s="12" t="n">
        <x:f>M914-N914</x:f>
        <x:v>459.9559999999999</x:v>
      </x:c>
      <x:c r="P914" s="16" t="n">
        <x:f>IFERROR(O914/M914,0)</x:f>
        <x:v>0.26992786368043115</x:v>
      </x:c>
      <x:c r="Q914" t="n">
        <x:f>YEAR(B914)</x:f>
        <x:v>2026</x:v>
      </x:c>
      <x:c r="R914" t="str">
        <x:f>TEXT(B914,"yyyy-mm")</x:f>
        <x:v>2026-07</x:v>
      </x:c>
    </x:row>
    <x:row r="915">
      <x:c r="A915" t="n">
        <x:v>10656</x:v>
      </x:c>
      <x:c r="B915" s="10" t="n">
        <x:v>46216</x:v>
      </x:c>
      <x:c r="C915" t="str">
        <x:v>P001</x:v>
      </x:c>
      <x:c r="D915" t="str">
        <x:v>Laptop</x:v>
      </x:c>
      <x:c r="E915" t="str">
        <x:v>Electronics</x:v>
      </x:c>
      <x:c r="F915" t="str">
        <x:v>South</x:v>
      </x:c>
      <x:c r="G915" t="str">
        <x:v>Online</x:v>
      </x:c>
      <x:c r="H915" t="str">
        <x:v>Completed</x:v>
      </x:c>
      <x:c r="I915" t="n">
        <x:v>2</x:v>
      </x:c>
      <x:c r="J915" s="12" t="n">
        <x:v>932.04</x:v>
      </x:c>
      <x:c r="K915" s="12" t="n">
        <x:v>621.46</x:v>
      </x:c>
      <x:c r="L915" s="14" t="n">
        <x:v>0.05</x:v>
      </x:c>
      <x:c r="M915" s="12" t="n">
        <x:f>IF(H915="Completed",I915*J915*(1-L915),0)</x:f>
        <x:v>1770.8759999999997</x:v>
      </x:c>
      <x:c r="N915" s="12" t="n">
        <x:f>IF(H915="Completed",I915*K915,0)</x:f>
        <x:v>1242.92</x:v>
      </x:c>
      <x:c r="O915" s="12" t="n">
        <x:f>M915-N915</x:f>
        <x:v>527.9559999999997</x:v>
      </x:c>
      <x:c r="P915" s="16" t="n">
        <x:f>IFERROR(O915/M915,0)</x:f>
        <x:v>0.2981326755797694</x:v>
      </x:c>
      <x:c r="Q915" t="n">
        <x:f>YEAR(B915)</x:f>
        <x:v>2026</x:v>
      </x:c>
      <x:c r="R915" t="str">
        <x:f>TEXT(B915,"yyyy-mm")</x:f>
        <x:v>2026-07</x:v>
      </x:c>
    </x:row>
    <x:row r="916">
      <x:c r="A916" t="n">
        <x:v>10841</x:v>
      </x:c>
      <x:c r="B916" s="10" t="n">
        <x:v>46216</x:v>
      </x:c>
      <x:c r="C916" t="str">
        <x:v>P005</x:v>
      </x:c>
      <x:c r="D916" t="str">
        <x:v>Desk</x:v>
      </x:c>
      <x:c r="E916" t="str">
        <x:v>Furniture</x:v>
      </x:c>
      <x:c r="F916" t="str">
        <x:v>South</x:v>
      </x:c>
      <x:c r="G916" t="str">
        <x:v>Online</x:v>
      </x:c>
      <x:c r="H916" t="str">
        <x:v>Completed</x:v>
      </x:c>
      <x:c r="I916" t="n">
        <x:v>2</x:v>
      </x:c>
      <x:c r="J916" s="12" t="n">
        <x:v>268.22</x:v>
      </x:c>
      <x:c r="K916" s="12" t="n">
        <x:v>152.25</x:v>
      </x:c>
      <x:c r="L916" s="14" t="n">
        <x:v>0.1</x:v>
      </x:c>
      <x:c r="M916" s="12" t="n">
        <x:f>IF(H916="Completed",I916*J916*(1-L916),0)</x:f>
        <x:v>482.79600000000005</x:v>
      </x:c>
      <x:c r="N916" s="12" t="n">
        <x:f>IF(H916="Completed",I916*K916,0)</x:f>
        <x:v>304.5</x:v>
      </x:c>
      <x:c r="O916" s="12" t="n">
        <x:f>M916-N916</x:f>
        <x:v>178.29600000000005</x:v>
      </x:c>
      <x:c r="P916" s="16" t="n">
        <x:f>IFERROR(O916/M916,0)</x:f>
        <x:v>0.3692988342902593</x:v>
      </x:c>
      <x:c r="Q916" t="n">
        <x:f>YEAR(B916)</x:f>
        <x:v>2026</x:v>
      </x:c>
      <x:c r="R916" t="str">
        <x:f>TEXT(B916,"yyyy-mm")</x:f>
        <x:v>2026-07</x:v>
      </x:c>
    </x:row>
    <x:row r="917">
      <x:c r="A917" t="n">
        <x:v>10476</x:v>
      </x:c>
      <x:c r="B917" s="10" t="n">
        <x:v>46217</x:v>
      </x:c>
      <x:c r="C917" t="str">
        <x:v>P006</x:v>
      </x:c>
      <x:c r="D917" t="str">
        <x:v>Chair</x:v>
      </x:c>
      <x:c r="E917" t="str">
        <x:v>Furniture</x:v>
      </x:c>
      <x:c r="F917" t="str">
        <x:v>Midlands</x:v>
      </x:c>
      <x:c r="G917" t="str">
        <x:v>Retail</x:v>
      </x:c>
      <x:c r="H917" t="str">
        <x:v>Cancelled</x:v>
      </x:c>
      <x:c r="I917" t="n">
        <x:v>2</x:v>
      </x:c>
      <x:c r="J917" s="12" t="n">
        <x:v>132.47</x:v>
      </x:c>
      <x:c r="K917" s="12" t="n">
        <x:v>67.39</x:v>
      </x:c>
      <x:c r="L917" s="14" t="n">
        <x:v>0</x:v>
      </x:c>
      <x:c r="M917" s="12" t="n">
        <x:f>IF(H917="Completed",I917*J917*(1-L917),0)</x:f>
        <x:v>0</x:v>
      </x:c>
      <x:c r="N917" s="12" t="n">
        <x:f>IF(H917="Completed",I917*K917,0)</x:f>
        <x:v>0</x:v>
      </x:c>
      <x:c r="O917" s="12" t="n">
        <x:f>M917-N917</x:f>
        <x:v>0</x:v>
      </x:c>
      <x:c r="P917" s="16" t="n">
        <x:f>IFERROR(O917/M917,0)</x:f>
        <x:v>0</x:v>
      </x:c>
      <x:c r="Q917" t="n">
        <x:f>YEAR(B917)</x:f>
        <x:v>2026</x:v>
      </x:c>
      <x:c r="R917" t="str">
        <x:f>TEXT(B917,"yyyy-mm")</x:f>
        <x:v>2026-07</x:v>
      </x:c>
    </x:row>
    <x:row r="918">
      <x:c r="A918" t="n">
        <x:v>10175</x:v>
      </x:c>
      <x:c r="B918" s="10" t="n">
        <x:v>46219</x:v>
      </x:c>
      <x:c r="C918" t="str">
        <x:v>P002</x:v>
      </x:c>
      <x:c r="D918" t="str">
        <x:v>Monitor</x:v>
      </x:c>
      <x:c r="E918" t="str">
        <x:v>Electronics</x:v>
      </x:c>
      <x:c r="F918" t="str">
        <x:v>Midlands</x:v>
      </x:c>
      <x:c r="G918" t="str">
        <x:v>Retail</x:v>
      </x:c>
      <x:c r="H918" t="str">
        <x:v>Cancelled</x:v>
      </x:c>
      <x:c r="I918" t="n">
        <x:v>1</x:v>
      </x:c>
      <x:c r="J918" s="12" t="n">
        <x:v>288.6</x:v>
      </x:c>
      <x:c r="K918" s="12" t="n">
        <x:v>170.2</x:v>
      </x:c>
      <x:c r="L918" s="14" t="n">
        <x:v>0.15</x:v>
      </x:c>
      <x:c r="M918" s="12" t="n">
        <x:f>IF(H918="Completed",I918*J918*(1-L918),0)</x:f>
        <x:v>0</x:v>
      </x:c>
      <x:c r="N918" s="12" t="n">
        <x:f>IF(H918="Completed",I918*K918,0)</x:f>
        <x:v>0</x:v>
      </x:c>
      <x:c r="O918" s="12" t="n">
        <x:f>M918-N918</x:f>
        <x:v>0</x:v>
      </x:c>
      <x:c r="P918" s="16" t="n">
        <x:f>IFERROR(O918/M918,0)</x:f>
        <x:v>0</x:v>
      </x:c>
      <x:c r="Q918" t="n">
        <x:f>YEAR(B918)</x:f>
        <x:v>2026</x:v>
      </x:c>
      <x:c r="R918" t="str">
        <x:f>TEXT(B918,"yyyy-mm")</x:f>
        <x:v>2026-07</x:v>
      </x:c>
    </x:row>
    <x:row r="919">
      <x:c r="A919" t="n">
        <x:v>10740</x:v>
      </x:c>
      <x:c r="B919" s="10" t="n">
        <x:v>46220</x:v>
      </x:c>
      <x:c r="C919" t="str">
        <x:v>P008</x:v>
      </x:c>
      <x:c r="D919" t="str">
        <x:v>Webcam</x:v>
      </x:c>
      <x:c r="E919" t="str">
        <x:v>Electronics</x:v>
      </x:c>
      <x:c r="F919" t="str">
        <x:v>South</x:v>
      </x:c>
      <x:c r="G919" t="str">
        <x:v>Retail</x:v>
      </x:c>
      <x:c r="H919" t="str">
        <x:v>Completed</x:v>
      </x:c>
      <x:c r="I919" t="n">
        <x:v>3</x:v>
      </x:c>
      <x:c r="J919" s="12" t="n">
        <x:v>90.55</x:v>
      </x:c>
      <x:c r="K919" s="12" t="n">
        <x:v>41.41</x:v>
      </x:c>
      <x:c r="L919" s="14" t="n">
        <x:v>0</x:v>
      </x:c>
      <x:c r="M919" s="12" t="n">
        <x:f>IF(H919="Completed",I919*J919*(1-L919),0)</x:f>
        <x:v>271.65</x:v>
      </x:c>
      <x:c r="N919" s="12" t="n">
        <x:f>IF(H919="Completed",I919*K919,0)</x:f>
        <x:v>124.22999999999999</x:v>
      </x:c>
      <x:c r="O919" s="12" t="n">
        <x:f>M919-N919</x:f>
        <x:v>147.42</x:v>
      </x:c>
      <x:c r="P919" s="16" t="n">
        <x:f>IFERROR(O919/M919,0)</x:f>
        <x:v>0.5426836002208725</x:v>
      </x:c>
      <x:c r="Q919" t="n">
        <x:f>YEAR(B919)</x:f>
        <x:v>2026</x:v>
      </x:c>
      <x:c r="R919" t="str">
        <x:f>TEXT(B919,"yyyy-mm")</x:f>
        <x:v>2026-07</x:v>
      </x:c>
    </x:row>
    <x:row r="920">
      <x:c r="A920" t="n">
        <x:v>10834</x:v>
      </x:c>
      <x:c r="B920" s="10" t="n">
        <x:v>46220</x:v>
      </x:c>
      <x:c r="C920" t="str">
        <x:v>P003</x:v>
      </x:c>
      <x:c r="D920" t="str">
        <x:v>Keyboard</x:v>
      </x:c>
      <x:c r="E920" t="str">
        <x:v>Accessories</x:v>
      </x:c>
      <x:c r="F920" t="str">
        <x:v>Scotland</x:v>
      </x:c>
      <x:c r="G920" t="str">
        <x:v>Retail</x:v>
      </x:c>
      <x:c r="H920" t="str">
        <x:v>Completed</x:v>
      </x:c>
      <x:c r="I920" t="n">
        <x:v>2</x:v>
      </x:c>
      <x:c r="J920" s="12" t="n">
        <x:v>50.27</x:v>
      </x:c>
      <x:c r="K920" s="12" t="n">
        <x:v>26.45</x:v>
      </x:c>
      <x:c r="L920" s="14" t="n">
        <x:v>0</x:v>
      </x:c>
      <x:c r="M920" s="12" t="n">
        <x:f>IF(H920="Completed",I920*J920*(1-L920),0)</x:f>
        <x:v>100.54</x:v>
      </x:c>
      <x:c r="N920" s="12" t="n">
        <x:f>IF(H920="Completed",I920*K920,0)</x:f>
        <x:v>52.9</x:v>
      </x:c>
      <x:c r="O920" s="12" t="n">
        <x:f>M920-N920</x:f>
        <x:v>47.64000000000001</x:v>
      </x:c>
      <x:c r="P920" s="16" t="n">
        <x:f>IFERROR(O920/M920,0)</x:f>
        <x:v>0.4738412572110603</x:v>
      </x:c>
      <x:c r="Q920" t="n">
        <x:f>YEAR(B920)</x:f>
        <x:v>2026</x:v>
      </x:c>
      <x:c r="R920" t="str">
        <x:f>TEXT(B920,"yyyy-mm")</x:f>
        <x:v>2026-07</x:v>
      </x:c>
    </x:row>
    <x:row r="921">
      <x:c r="A921" t="n">
        <x:v>10172</x:v>
      </x:c>
      <x:c r="B921" s="10" t="n">
        <x:v>46224</x:v>
      </x:c>
      <x:c r="C921" t="str">
        <x:v>P004</x:v>
      </x:c>
      <x:c r="D921" t="str">
        <x:v>Mouse</x:v>
      </x:c>
      <x:c r="E921" t="str">
        <x:v>Accessories</x:v>
      </x:c>
      <x:c r="F921" t="str">
        <x:v>Wales</x:v>
      </x:c>
      <x:c r="G921" t="str">
        <x:v>Partner</x:v>
      </x:c>
      <x:c r="H921" t="str">
        <x:v>Completed</x:v>
      </x:c>
      <x:c r="I921" t="n">
        <x:v>4</x:v>
      </x:c>
      <x:c r="J921" s="12" t="n">
        <x:v>26.94</x:v>
      </x:c>
      <x:c r="K921" s="12" t="n">
        <x:v>12.98</x:v>
      </x:c>
      <x:c r="L921" s="14" t="n">
        <x:v>0</x:v>
      </x:c>
      <x:c r="M921" s="12" t="n">
        <x:f>IF(H921="Completed",I921*J921*(1-L921),0)</x:f>
        <x:v>107.76</x:v>
      </x:c>
      <x:c r="N921" s="12" t="n">
        <x:f>IF(H921="Completed",I921*K921,0)</x:f>
        <x:v>51.92</x:v>
      </x:c>
      <x:c r="O921" s="12" t="n">
        <x:f>M921-N921</x:f>
        <x:v>55.84</x:v>
      </x:c>
      <x:c r="P921" s="16" t="n">
        <x:f>IFERROR(O921/M921,0)</x:f>
        <x:v>0.51818856718634</x:v>
      </x:c>
      <x:c r="Q921" t="n">
        <x:f>YEAR(B921)</x:f>
        <x:v>2026</x:v>
      </x:c>
      <x:c r="R921" t="str">
        <x:f>TEXT(B921,"yyyy-mm")</x:f>
        <x:v>2026-07</x:v>
      </x:c>
    </x:row>
    <x:row r="922">
      <x:c r="A922" t="n">
        <x:v>10467</x:v>
      </x:c>
      <x:c r="B922" s="10" t="n">
        <x:v>46225</x:v>
      </x:c>
      <x:c r="C922" t="str">
        <x:v>P006</x:v>
      </x:c>
      <x:c r="D922" t="str">
        <x:v>Chair</x:v>
      </x:c>
      <x:c r="E922" t="str">
        <x:v>Furniture</x:v>
      </x:c>
      <x:c r="F922" t="str">
        <x:v>South</x:v>
      </x:c>
      <x:c r="G922" t="str">
        <x:v>Online</x:v>
      </x:c>
      <x:c r="H922" t="str">
        <x:v>Completed</x:v>
      </x:c>
      <x:c r="I922" t="n">
        <x:v>4</x:v>
      </x:c>
      <x:c r="J922" s="12" t="n">
        <x:v>135.81</x:v>
      </x:c>
      <x:c r="K922" s="12" t="n">
        <x:v>69.86</x:v>
      </x:c>
      <x:c r="L922" s="14" t="n">
        <x:v>0</x:v>
      </x:c>
      <x:c r="M922" s="12" t="n">
        <x:f>IF(H922="Completed",I922*J922*(1-L922),0)</x:f>
        <x:v>543.24</x:v>
      </x:c>
      <x:c r="N922" s="12" t="n">
        <x:f>IF(H922="Completed",I922*K922,0)</x:f>
        <x:v>279.44</x:v>
      </x:c>
      <x:c r="O922" s="12" t="n">
        <x:f>M922-N922</x:f>
        <x:v>263.8</x:v>
      </x:c>
      <x:c r="P922" s="16" t="n">
        <x:f>IFERROR(O922/M922,0)</x:f>
        <x:v>0.48560488918341804</x:v>
      </x:c>
      <x:c r="Q922" t="n">
        <x:f>YEAR(B922)</x:f>
        <x:v>2026</x:v>
      </x:c>
      <x:c r="R922" t="str">
        <x:f>TEXT(B922,"yyyy-mm")</x:f>
        <x:v>2026-07</x:v>
      </x:c>
    </x:row>
    <x:row r="923">
      <x:c r="A923" t="n">
        <x:v>10390</x:v>
      </x:c>
      <x:c r="B923" s="10" t="n">
        <x:v>46228</x:v>
      </x:c>
      <x:c r="C923" t="str">
        <x:v>P002</x:v>
      </x:c>
      <x:c r="D923" t="str">
        <x:v>Monitor</x:v>
      </x:c>
      <x:c r="E923" t="str">
        <x:v>Electronics</x:v>
      </x:c>
      <x:c r="F923" t="str">
        <x:v>Midlands</x:v>
      </x:c>
      <x:c r="G923" t="str">
        <x:v>Online</x:v>
      </x:c>
      <x:c r="H923" t="str">
        <x:v>Completed</x:v>
      </x:c>
      <x:c r="I923" t="n">
        <x:v>1</x:v>
      </x:c>
      <x:c r="J923" s="12" t="n">
        <x:v>286.82</x:v>
      </x:c>
      <x:c r="K923" s="12" t="n">
        <x:v>174.4</x:v>
      </x:c>
      <x:c r="L923" s="14" t="n">
        <x:v>0</x:v>
      </x:c>
      <x:c r="M923" s="12" t="n">
        <x:f>IF(H923="Completed",I923*J923*(1-L923),0)</x:f>
        <x:v>286.82</x:v>
      </x:c>
      <x:c r="N923" s="12" t="n">
        <x:f>IF(H923="Completed",I923*K923,0)</x:f>
        <x:v>174.4</x:v>
      </x:c>
      <x:c r="O923" s="12" t="n">
        <x:f>M923-N923</x:f>
        <x:v>112.41999999999999</x:v>
      </x:c>
      <x:c r="P923" s="16" t="n">
        <x:f>IFERROR(O923/M923,0)</x:f>
        <x:v>0.3919531413430025</x:v>
      </x:c>
      <x:c r="Q923" t="n">
        <x:f>YEAR(B923)</x:f>
        <x:v>2026</x:v>
      </x:c>
      <x:c r="R923" t="str">
        <x:f>TEXT(B923,"yyyy-mm")</x:f>
        <x:v>2026-07</x:v>
      </x:c>
    </x:row>
    <x:row r="924">
      <x:c r="A924" t="n">
        <x:v>10369</x:v>
      </x:c>
      <x:c r="B924" s="10" t="n">
        <x:v>46231</x:v>
      </x:c>
      <x:c r="C924" t="str">
        <x:v>P003</x:v>
      </x:c>
      <x:c r="D924" t="str">
        <x:v>Keyboard</x:v>
      </x:c>
      <x:c r="E924" t="str">
        <x:v>Accessories</x:v>
      </x:c>
      <x:c r="F924" t="str">
        <x:v>Scotland</x:v>
      </x:c>
      <x:c r="G924" t="str">
        <x:v>Partner</x:v>
      </x:c>
      <x:c r="H924" t="str">
        <x:v>Completed</x:v>
      </x:c>
      <x:c r="I924" t="n">
        <x:v>1</x:v>
      </x:c>
      <x:c r="J924" s="12" t="n">
        <x:v>49.95</x:v>
      </x:c>
      <x:c r="K924" s="12" t="n">
        <x:v>26.34</x:v>
      </x:c>
      <x:c r="L924" s="14" t="n">
        <x:v>0</x:v>
      </x:c>
      <x:c r="M924" s="12" t="n">
        <x:f>IF(H924="Completed",I924*J924*(1-L924),0)</x:f>
        <x:v>49.95</x:v>
      </x:c>
      <x:c r="N924" s="12" t="n">
        <x:f>IF(H924="Completed",I924*K924,0)</x:f>
        <x:v>26.34</x:v>
      </x:c>
      <x:c r="O924" s="12" t="n">
        <x:f>M924-N924</x:f>
        <x:v>23.610000000000003</x:v>
      </x:c>
      <x:c r="P924" s="16" t="n">
        <x:f>IFERROR(O924/M924,0)</x:f>
        <x:v>0.4726726726726727</x:v>
      </x:c>
      <x:c r="Q924" t="n">
        <x:f>YEAR(B924)</x:f>
        <x:v>2026</x:v>
      </x:c>
      <x:c r="R924" t="str">
        <x:f>TEXT(B924,"yyyy-mm")</x:f>
        <x:v>2026-07</x:v>
      </x:c>
    </x:row>
    <x:row r="925">
      <x:c r="A925" t="n">
        <x:v>10845</x:v>
      </x:c>
      <x:c r="B925" s="10" t="n">
        <x:v>46232</x:v>
      </x:c>
      <x:c r="C925" t="str">
        <x:v>P003</x:v>
      </x:c>
      <x:c r="D925" t="str">
        <x:v>Keyboard</x:v>
      </x:c>
      <x:c r="E925" t="str">
        <x:v>Accessories</x:v>
      </x:c>
      <x:c r="F925" t="str">
        <x:v>North</x:v>
      </x:c>
      <x:c r="G925" t="str">
        <x:v>Retail</x:v>
      </x:c>
      <x:c r="H925" t="str">
        <x:v>Cancelled</x:v>
      </x:c>
      <x:c r="I925" t="n">
        <x:v>2</x:v>
      </x:c>
      <x:c r="J925" s="12" t="n">
        <x:v>50.52</x:v>
      </x:c>
      <x:c r="K925" s="12" t="n">
        <x:v>25.62</x:v>
      </x:c>
      <x:c r="L925" s="14" t="n">
        <x:v>0</x:v>
      </x:c>
      <x:c r="M925" s="12" t="n">
        <x:f>IF(H925="Completed",I925*J925*(1-L925),0)</x:f>
        <x:v>0</x:v>
      </x:c>
      <x:c r="N925" s="12" t="n">
        <x:f>IF(H925="Completed",I925*K925,0)</x:f>
        <x:v>0</x:v>
      </x:c>
      <x:c r="O925" s="12" t="n">
        <x:f>M925-N925</x:f>
        <x:v>0</x:v>
      </x:c>
      <x:c r="P925" s="16" t="n">
        <x:f>IFERROR(O925/M925,0)</x:f>
        <x:v>0</x:v>
      </x:c>
      <x:c r="Q925" t="n">
        <x:f>YEAR(B925)</x:f>
        <x:v>2026</x:v>
      </x:c>
      <x:c r="R925" t="str">
        <x:f>TEXT(B925,"yyyy-mm")</x:f>
        <x:v>2026-07</x:v>
      </x:c>
    </x:row>
    <x:row r="926">
      <x:c r="A926" t="n">
        <x:v>10304</x:v>
      </x:c>
      <x:c r="B926" s="10" t="n">
        <x:v>46233</x:v>
      </x:c>
      <x:c r="C926" t="str">
        <x:v>P003</x:v>
      </x:c>
      <x:c r="D926" t="str">
        <x:v>Keyboard</x:v>
      </x:c>
      <x:c r="E926" t="str">
        <x:v>Accessories</x:v>
      </x:c>
      <x:c r="F926" t="str">
        <x:v>South</x:v>
      </x:c>
      <x:c r="G926" t="str">
        <x:v>Online</x:v>
      </x:c>
      <x:c r="H926" t="str">
        <x:v>Completed</x:v>
      </x:c>
      <x:c r="I926" t="n">
        <x:v>2</x:v>
      </x:c>
      <x:c r="J926" s="12" t="n">
        <x:v>49.65</x:v>
      </x:c>
      <x:c r="K926" s="12" t="n">
        <x:v>26.61</x:v>
      </x:c>
      <x:c r="L926" s="14" t="n">
        <x:v>0.05</x:v>
      </x:c>
      <x:c r="M926" s="12" t="n">
        <x:f>IF(H926="Completed",I926*J926*(1-L926),0)</x:f>
        <x:v>94.335</x:v>
      </x:c>
      <x:c r="N926" s="12" t="n">
        <x:f>IF(H926="Completed",I926*K926,0)</x:f>
        <x:v>53.22</x:v>
      </x:c>
      <x:c r="O926" s="12" t="n">
        <x:f>M926-N926</x:f>
        <x:v>41.114999999999995</x:v>
      </x:c>
      <x:c r="P926" s="16" t="n">
        <x:f>IFERROR(O926/M926,0)</x:f>
        <x:v>0.43584035617745265</x:v>
      </x:c>
      <x:c r="Q926" t="n">
        <x:f>YEAR(B926)</x:f>
        <x:v>2026</x:v>
      </x:c>
      <x:c r="R926" t="str">
        <x:f>TEXT(B926,"yyyy-mm")</x:f>
        <x:v>2026-07</x:v>
      </x:c>
    </x:row>
    <x:row r="927">
      <x:c r="A927" t="n">
        <x:v>10524</x:v>
      </x:c>
      <x:c r="B927" s="10" t="n">
        <x:v>46234</x:v>
      </x:c>
      <x:c r="C927" t="str">
        <x:v>P002</x:v>
      </x:c>
      <x:c r="D927" t="str">
        <x:v>Monitor</x:v>
      </x:c>
      <x:c r="E927" t="str">
        <x:v>Electronics</x:v>
      </x:c>
      <x:c r="F927" t="str">
        <x:v>South</x:v>
      </x:c>
      <x:c r="G927" t="str">
        <x:v>Retail</x:v>
      </x:c>
      <x:c r="H927" t="str">
        <x:v>Cancelled</x:v>
      </x:c>
      <x:c r="I927" t="n">
        <x:v>4</x:v>
      </x:c>
      <x:c r="J927" s="12" t="n">
        <x:v>293.37</x:v>
      </x:c>
      <x:c r="K927" s="12" t="n">
        <x:v>169.76</x:v>
      </x:c>
      <x:c r="L927" s="14" t="n">
        <x:v>0</x:v>
      </x:c>
      <x:c r="M927" s="12" t="n">
        <x:f>IF(H927="Completed",I927*J927*(1-L927),0)</x:f>
        <x:v>0</x:v>
      </x:c>
      <x:c r="N927" s="12" t="n">
        <x:f>IF(H927="Completed",I927*K927,0)</x:f>
        <x:v>0</x:v>
      </x:c>
      <x:c r="O927" s="12" t="n">
        <x:f>M927-N927</x:f>
        <x:v>0</x:v>
      </x:c>
      <x:c r="P927" s="16" t="n">
        <x:f>IFERROR(O927/M927,0)</x:f>
        <x:v>0</x:v>
      </x:c>
      <x:c r="Q927" t="n">
        <x:f>YEAR(B927)</x:f>
        <x:v>2026</x:v>
      </x:c>
      <x:c r="R927" t="str">
        <x:f>TEXT(B927,"yyyy-mm")</x:f>
        <x:v>2026-07</x:v>
      </x:c>
    </x:row>
    <x:row r="928">
      <x:c r="A928" t="n">
        <x:v>10684</x:v>
      </x:c>
      <x:c r="B928" s="10" t="n">
        <x:v>46236</x:v>
      </x:c>
      <x:c r="C928" t="str">
        <x:v>P005</x:v>
      </x:c>
      <x:c r="D928" t="str">
        <x:v>Desk</x:v>
      </x:c>
      <x:c r="E928" t="str">
        <x:v>Furniture</x:v>
      </x:c>
      <x:c r="F928" t="str">
        <x:v>South</x:v>
      </x:c>
      <x:c r="G928" t="str">
        <x:v>Retail</x:v>
      </x:c>
      <x:c r="H928" t="str">
        <x:v>Completed</x:v>
      </x:c>
      <x:c r="I928" t="n">
        <x:v>4</x:v>
      </x:c>
      <x:c r="J928" s="12" t="n">
        <x:v>269.87</x:v>
      </x:c>
      <x:c r="K928" s="12" t="n">
        <x:v>152.47</x:v>
      </x:c>
      <x:c r="L928" s="14" t="n">
        <x:v>0</x:v>
      </x:c>
      <x:c r="M928" s="12" t="n">
        <x:f>IF(H928="Completed",I928*J928*(1-L928),0)</x:f>
        <x:v>1079.48</x:v>
      </x:c>
      <x:c r="N928" s="12" t="n">
        <x:f>IF(H928="Completed",I928*K928,0)</x:f>
        <x:v>609.88</x:v>
      </x:c>
      <x:c r="O928" s="12" t="n">
        <x:f>M928-N928</x:f>
        <x:v>469.6</x:v>
      </x:c>
      <x:c r="P928" s="16" t="n">
        <x:f>IFERROR(O928/M928,0)</x:f>
        <x:v>0.43502427094526996</x:v>
      </x:c>
      <x:c r="Q928" t="n">
        <x:f>YEAR(B928)</x:f>
        <x:v>2026</x:v>
      </x:c>
      <x:c r="R928" t="str">
        <x:f>TEXT(B928,"yyyy-mm")</x:f>
        <x:v>2026-08</x:v>
      </x:c>
    </x:row>
    <x:row r="929">
      <x:c r="A929" t="n">
        <x:v>10767</x:v>
      </x:c>
      <x:c r="B929" s="10" t="n">
        <x:v>46238</x:v>
      </x:c>
      <x:c r="C929" t="str">
        <x:v>P004</x:v>
      </x:c>
      <x:c r="D929" t="str">
        <x:v>Mouse</x:v>
      </x:c>
      <x:c r="E929" t="str">
        <x:v>Accessories</x:v>
      </x:c>
      <x:c r="F929" t="str">
        <x:v>Midlands</x:v>
      </x:c>
      <x:c r="G929" t="str">
        <x:v>Retail</x:v>
      </x:c>
      <x:c r="H929" t="str">
        <x:v>Completed</x:v>
      </x:c>
      <x:c r="I929" t="n">
        <x:v>4</x:v>
      </x:c>
      <x:c r="J929" s="12" t="n">
        <x:v>28</x:v>
      </x:c>
      <x:c r="K929" s="12" t="n">
        <x:v>12.86</x:v>
      </x:c>
      <x:c r="L929" s="14" t="n">
        <x:v>0.15</x:v>
      </x:c>
      <x:c r="M929" s="12" t="n">
        <x:f>IF(H929="Completed",I929*J929*(1-L929),0)</x:f>
        <x:v>95.2</x:v>
      </x:c>
      <x:c r="N929" s="12" t="n">
        <x:f>IF(H929="Completed",I929*K929,0)</x:f>
        <x:v>51.44</x:v>
      </x:c>
      <x:c r="O929" s="12" t="n">
        <x:f>M929-N929</x:f>
        <x:v>43.760000000000005</x:v>
      </x:c>
      <x:c r="P929" s="16" t="n">
        <x:f>IFERROR(O929/M929,0)</x:f>
        <x:v>0.4596638655462185</x:v>
      </x:c>
      <x:c r="Q929" t="n">
        <x:f>YEAR(B929)</x:f>
        <x:v>2026</x:v>
      </x:c>
      <x:c r="R929" t="str">
        <x:f>TEXT(B929,"yyyy-mm")</x:f>
        <x:v>2026-08</x:v>
      </x:c>
    </x:row>
    <x:row r="930">
      <x:c r="A930" t="n">
        <x:v>10392</x:v>
      </x:c>
      <x:c r="B930" s="10" t="n">
        <x:v>46239</x:v>
      </x:c>
      <x:c r="C930" t="str">
        <x:v>P002</x:v>
      </x:c>
      <x:c r="D930" t="str">
        <x:v>Monitor</x:v>
      </x:c>
      <x:c r="E930" t="str">
        <x:v>Electronics</x:v>
      </x:c>
      <x:c r="F930" t="str">
        <x:v>Scotland</x:v>
      </x:c>
      <x:c r="G930" t="str">
        <x:v>Partner</x:v>
      </x:c>
      <x:c r="H930" t="str">
        <x:v>Completed</x:v>
      </x:c>
      <x:c r="I930" t="n">
        <x:v>1</x:v>
      </x:c>
      <x:c r="J930" s="12" t="n">
        <x:v>281.72</x:v>
      </x:c>
      <x:c r="K930" s="12" t="n">
        <x:v>172.17</x:v>
      </x:c>
      <x:c r="L930" s="14" t="n">
        <x:v>0.05</x:v>
      </x:c>
      <x:c r="M930" s="12" t="n">
        <x:f>IF(H930="Completed",I930*J930*(1-L930),0)</x:f>
        <x:v>267.634</x:v>
      </x:c>
      <x:c r="N930" s="12" t="n">
        <x:f>IF(H930="Completed",I930*K930,0)</x:f>
        <x:v>172.17</x:v>
      </x:c>
      <x:c r="O930" s="12" t="n">
        <x:f>M930-N930</x:f>
        <x:v>95.46400000000003</x:v>
      </x:c>
      <x:c r="P930" s="16" t="n">
        <x:f>IFERROR(O930/M930,0)</x:f>
        <x:v>0.3566960849518373</x:v>
      </x:c>
      <x:c r="Q930" t="n">
        <x:f>YEAR(B930)</x:f>
        <x:v>2026</x:v>
      </x:c>
      <x:c r="R930" t="str">
        <x:f>TEXT(B930,"yyyy-mm")</x:f>
        <x:v>2026-08</x:v>
      </x:c>
    </x:row>
    <x:row r="931">
      <x:c r="A931" t="n">
        <x:v>10686</x:v>
      </x:c>
      <x:c r="B931" s="10" t="n">
        <x:v>46242</x:v>
      </x:c>
      <x:c r="C931" t="str">
        <x:v>P004</x:v>
      </x:c>
      <x:c r="D931" t="str">
        <x:v>Mouse</x:v>
      </x:c>
      <x:c r="E931" t="str">
        <x:v>Accessories</x:v>
      </x:c>
      <x:c r="F931" t="str">
        <x:v>North</x:v>
      </x:c>
      <x:c r="G931" t="str">
        <x:v>Online</x:v>
      </x:c>
      <x:c r="H931" t="str">
        <x:v>Completed</x:v>
      </x:c>
      <x:c r="I931" t="n">
        <x:v>4</x:v>
      </x:c>
      <x:c r="J931" s="12" t="n">
        <x:v>27.64</x:v>
      </x:c>
      <x:c r="K931" s="12" t="n">
        <x:v>12.88</x:v>
      </x:c>
      <x:c r="L931" s="14" t="n">
        <x:v>0.1</x:v>
      </x:c>
      <x:c r="M931" s="12" t="n">
        <x:f>IF(H931="Completed",I931*J931*(1-L931),0)</x:f>
        <x:v>99.504</x:v>
      </x:c>
      <x:c r="N931" s="12" t="n">
        <x:f>IF(H931="Completed",I931*K931,0)</x:f>
        <x:v>51.52</x:v>
      </x:c>
      <x:c r="O931" s="12" t="n">
        <x:f>M931-N931</x:f>
        <x:v>47.984</x:v>
      </x:c>
      <x:c r="P931" s="16" t="n">
        <x:f>IFERROR(O931/M931,0)</x:f>
        <x:v>0.48223187007557483</x:v>
      </x:c>
      <x:c r="Q931" t="n">
        <x:f>YEAR(B931)</x:f>
        <x:v>2026</x:v>
      </x:c>
      <x:c r="R931" t="str">
        <x:f>TEXT(B931,"yyyy-mm")</x:f>
        <x:v>2026-08</x:v>
      </x:c>
    </x:row>
    <x:row r="932">
      <x:c r="A932" t="n">
        <x:v>10273</x:v>
      </x:c>
      <x:c r="B932" s="10" t="n">
        <x:v>46243</x:v>
      </x:c>
      <x:c r="C932" t="str">
        <x:v>P006</x:v>
      </x:c>
      <x:c r="D932" t="str">
        <x:v>Chair</x:v>
      </x:c>
      <x:c r="E932" t="str">
        <x:v>Furniture</x:v>
      </x:c>
      <x:c r="F932" t="str">
        <x:v>Wales</x:v>
      </x:c>
      <x:c r="G932" t="str">
        <x:v>Retail</x:v>
      </x:c>
      <x:c r="H932" t="str">
        <x:v>Completed</x:v>
      </x:c>
      <x:c r="I932" t="n">
        <x:v>1</x:v>
      </x:c>
      <x:c r="J932" s="12" t="n">
        <x:v>133.78</x:v>
      </x:c>
      <x:c r="K932" s="12" t="n">
        <x:v>68.56</x:v>
      </x:c>
      <x:c r="L932" s="14" t="n">
        <x:v>0</x:v>
      </x:c>
      <x:c r="M932" s="12" t="n">
        <x:f>IF(H932="Completed",I932*J932*(1-L932),0)</x:f>
        <x:v>133.78</x:v>
      </x:c>
      <x:c r="N932" s="12" t="n">
        <x:f>IF(H932="Completed",I932*K932,0)</x:f>
        <x:v>68.56</x:v>
      </x:c>
      <x:c r="O932" s="12" t="n">
        <x:f>M932-N932</x:f>
        <x:v>65.22</x:v>
      </x:c>
      <x:c r="P932" s="16" t="n">
        <x:f>IFERROR(O932/M932,0)</x:f>
        <x:v>0.48751681865749735</x:v>
      </x:c>
      <x:c r="Q932" t="n">
        <x:f>YEAR(B932)</x:f>
        <x:v>2026</x:v>
      </x:c>
      <x:c r="R932" t="str">
        <x:f>TEXT(B932,"yyyy-mm")</x:f>
        <x:v>2026-08</x:v>
      </x:c>
    </x:row>
    <x:row r="933">
      <x:c r="A933" t="n">
        <x:v>10583</x:v>
      </x:c>
      <x:c r="B933" s="10" t="n">
        <x:v>46244</x:v>
      </x:c>
      <x:c r="C933" t="str">
        <x:v>P002</x:v>
      </x:c>
      <x:c r="D933" t="str">
        <x:v>Monitor</x:v>
      </x:c>
      <x:c r="E933" t="str">
        <x:v>Electronics</x:v>
      </x:c>
      <x:c r="F933" t="str">
        <x:v>Scotland</x:v>
      </x:c>
      <x:c r="G933" t="str">
        <x:v>Retail</x:v>
      </x:c>
      <x:c r="H933" t="str">
        <x:v>Completed</x:v>
      </x:c>
      <x:c r="I933" t="n">
        <x:v>2</x:v>
      </x:c>
      <x:c r="J933" s="12" t="n">
        <x:v>291.96</x:v>
      </x:c>
      <x:c r="K933" s="12" t="n">
        <x:v>169.85</x:v>
      </x:c>
      <x:c r="L933" s="14" t="n">
        <x:v>0.15</x:v>
      </x:c>
      <x:c r="M933" s="12" t="n">
        <x:f>IF(H933="Completed",I933*J933*(1-L933),0)</x:f>
        <x:v>496.33199999999994</x:v>
      </x:c>
      <x:c r="N933" s="12" t="n">
        <x:f>IF(H933="Completed",I933*K933,0)</x:f>
        <x:v>339.7</x:v>
      </x:c>
      <x:c r="O933" s="12" t="n">
        <x:f>M933-N933</x:f>
        <x:v>156.63199999999995</x:v>
      </x:c>
      <x:c r="P933" s="16" t="n">
        <x:f>IFERROR(O933/M933,0)</x:f>
        <x:v>0.31557908819096886</x:v>
      </x:c>
      <x:c r="Q933" t="n">
        <x:f>YEAR(B933)</x:f>
        <x:v>2026</x:v>
      </x:c>
      <x:c r="R933" t="str">
        <x:f>TEXT(B933,"yyyy-mm")</x:f>
        <x:v>2026-08</x:v>
      </x:c>
    </x:row>
    <x:row r="934">
      <x:c r="A934" t="n">
        <x:v>10513</x:v>
      </x:c>
      <x:c r="B934" s="10" t="n">
        <x:v>46245</x:v>
      </x:c>
      <x:c r="C934" t="str">
        <x:v>P005</x:v>
      </x:c>
      <x:c r="D934" t="str">
        <x:v>Desk</x:v>
      </x:c>
      <x:c r="E934" t="str">
        <x:v>Furniture</x:v>
      </x:c>
      <x:c r="F934" t="str">
        <x:v>North</x:v>
      </x:c>
      <x:c r="G934" t="str">
        <x:v>Retail</x:v>
      </x:c>
      <x:c r="H934" t="str">
        <x:v>Cancelled</x:v>
      </x:c>
      <x:c r="I934" t="n">
        <x:v>2</x:v>
      </x:c>
      <x:c r="J934" s="12" t="n">
        <x:v>271.21</x:v>
      </x:c>
      <x:c r="K934" s="12" t="n">
        <x:v>153.21</x:v>
      </x:c>
      <x:c r="L934" s="14" t="n">
        <x:v>0.15</x:v>
      </x:c>
      <x:c r="M934" s="12" t="n">
        <x:f>IF(H934="Completed",I934*J934*(1-L934),0)</x:f>
        <x:v>0</x:v>
      </x:c>
      <x:c r="N934" s="12" t="n">
        <x:f>IF(H934="Completed",I934*K934,0)</x:f>
        <x:v>0</x:v>
      </x:c>
      <x:c r="O934" s="12" t="n">
        <x:f>M934-N934</x:f>
        <x:v>0</x:v>
      </x:c>
      <x:c r="P934" s="16" t="n">
        <x:f>IFERROR(O934/M934,0)</x:f>
        <x:v>0</x:v>
      </x:c>
      <x:c r="Q934" t="n">
        <x:f>YEAR(B934)</x:f>
        <x:v>2026</x:v>
      </x:c>
      <x:c r="R934" t="str">
        <x:f>TEXT(B934,"yyyy-mm")</x:f>
        <x:v>2026-08</x:v>
      </x:c>
    </x:row>
    <x:row r="935">
      <x:c r="A935" t="n">
        <x:v>10738</x:v>
      </x:c>
      <x:c r="B935" s="10" t="n">
        <x:v>46245</x:v>
      </x:c>
      <x:c r="C935" t="str">
        <x:v>P008</x:v>
      </x:c>
      <x:c r="D935" t="str">
        <x:v>Webcam</x:v>
      </x:c>
      <x:c r="E935" t="str">
        <x:v>Electronics</x:v>
      </x:c>
      <x:c r="F935" t="str">
        <x:v>Wales</x:v>
      </x:c>
      <x:c r="G935" t="str">
        <x:v>Partner</x:v>
      </x:c>
      <x:c r="H935" t="str">
        <x:v>Completed</x:v>
      </x:c>
      <x:c r="I935" t="n">
        <x:v>2</x:v>
      </x:c>
      <x:c r="J935" s="12" t="n">
        <x:v>92.37</x:v>
      </x:c>
      <x:c r="K935" s="12" t="n">
        <x:v>42.31</x:v>
      </x:c>
      <x:c r="L935" s="14" t="n">
        <x:v>0</x:v>
      </x:c>
      <x:c r="M935" s="12" t="n">
        <x:f>IF(H935="Completed",I935*J935*(1-L935),0)</x:f>
        <x:v>184.74</x:v>
      </x:c>
      <x:c r="N935" s="12" t="n">
        <x:f>IF(H935="Completed",I935*K935,0)</x:f>
        <x:v>84.62</x:v>
      </x:c>
      <x:c r="O935" s="12" t="n">
        <x:f>M935-N935</x:f>
        <x:v>100.12</x:v>
      </x:c>
      <x:c r="P935" s="16" t="n">
        <x:f>IFERROR(O935/M935,0)</x:f>
        <x:v>0.5419508498430227</x:v>
      </x:c>
      <x:c r="Q935" t="n">
        <x:f>YEAR(B935)</x:f>
        <x:v>2026</x:v>
      </x:c>
      <x:c r="R935" t="str">
        <x:f>TEXT(B935,"yyyy-mm")</x:f>
        <x:v>2026-08</x:v>
      </x:c>
    </x:row>
    <x:row r="936">
      <x:c r="A936" t="n">
        <x:v>10801</x:v>
      </x:c>
      <x:c r="B936" s="10" t="n">
        <x:v>46247</x:v>
      </x:c>
      <x:c r="C936" t="str">
        <x:v>P002</x:v>
      </x:c>
      <x:c r="D936" t="str">
        <x:v>Monitor</x:v>
      </x:c>
      <x:c r="E936" t="str">
        <x:v>Electronics</x:v>
      </x:c>
      <x:c r="F936" t="str">
        <x:v>South</x:v>
      </x:c>
      <x:c r="G936" t="str">
        <x:v>Online</x:v>
      </x:c>
      <x:c r="H936" t="str">
        <x:v>Cancelled</x:v>
      </x:c>
      <x:c r="I936" t="n">
        <x:v>3</x:v>
      </x:c>
      <x:c r="J936" s="12" t="n">
        <x:v>291.88</x:v>
      </x:c>
      <x:c r="K936" s="12" t="n">
        <x:v>169.26</x:v>
      </x:c>
      <x:c r="L936" s="14" t="n">
        <x:v>0</x:v>
      </x:c>
      <x:c r="M936" s="12" t="n">
        <x:f>IF(H936="Completed",I936*J936*(1-L936),0)</x:f>
        <x:v>0</x:v>
      </x:c>
      <x:c r="N936" s="12" t="n">
        <x:f>IF(H936="Completed",I936*K936,0)</x:f>
        <x:v>0</x:v>
      </x:c>
      <x:c r="O936" s="12" t="n">
        <x:f>M936-N936</x:f>
        <x:v>0</x:v>
      </x:c>
      <x:c r="P936" s="16" t="n">
        <x:f>IFERROR(O936/M936,0)</x:f>
        <x:v>0</x:v>
      </x:c>
      <x:c r="Q936" t="n">
        <x:f>YEAR(B936)</x:f>
        <x:v>2026</x:v>
      </x:c>
      <x:c r="R936" t="str">
        <x:f>TEXT(B936,"yyyy-mm")</x:f>
        <x:v>2026-08</x:v>
      </x:c>
    </x:row>
    <x:row r="937">
      <x:c r="A937" t="n">
        <x:v>10230</x:v>
      </x:c>
      <x:c r="B937" s="10" t="n">
        <x:v>46248</x:v>
      </x:c>
      <x:c r="C937" t="str">
        <x:v>P001</x:v>
      </x:c>
      <x:c r="D937" t="str">
        <x:v>Laptop</x:v>
      </x:c>
      <x:c r="E937" t="str">
        <x:v>Electronics</x:v>
      </x:c>
      <x:c r="F937" t="str">
        <x:v>Scotland</x:v>
      </x:c>
      <x:c r="G937" t="str">
        <x:v>Online</x:v>
      </x:c>
      <x:c r="H937" t="str">
        <x:v>Completed</x:v>
      </x:c>
      <x:c r="I937" t="n">
        <x:v>4</x:v>
      </x:c>
      <x:c r="J937" s="12" t="n">
        <x:v>893</x:v>
      </x:c>
      <x:c r="K937" s="12" t="n">
        <x:v>625.21</x:v>
      </x:c>
      <x:c r="L937" s="14" t="n">
        <x:v>0</x:v>
      </x:c>
      <x:c r="M937" s="12" t="n">
        <x:f>IF(H937="Completed",I937*J937*(1-L937),0)</x:f>
        <x:v>3572</x:v>
      </x:c>
      <x:c r="N937" s="12" t="n">
        <x:f>IF(H937="Completed",I937*K937,0)</x:f>
        <x:v>2500.84</x:v>
      </x:c>
      <x:c r="O937" s="12" t="n">
        <x:f>M937-N937</x:f>
        <x:v>1071.1599999999999</x:v>
      </x:c>
      <x:c r="P937" s="16" t="n">
        <x:f>IFERROR(O937/M937,0)</x:f>
        <x:v>0.29987681970884655</x:v>
      </x:c>
      <x:c r="Q937" t="n">
        <x:f>YEAR(B937)</x:f>
        <x:v>2026</x:v>
      </x:c>
      <x:c r="R937" t="str">
        <x:f>TEXT(B937,"yyyy-mm")</x:f>
        <x:v>2026-08</x:v>
      </x:c>
    </x:row>
    <x:row r="938">
      <x:c r="A938" t="n">
        <x:v>10074</x:v>
      </x:c>
      <x:c r="B938" s="10" t="n">
        <x:v>46249</x:v>
      </x:c>
      <x:c r="C938" t="str">
        <x:v>P002</x:v>
      </x:c>
      <x:c r="D938" t="str">
        <x:v>Monitor</x:v>
      </x:c>
      <x:c r="E938" t="str">
        <x:v>Electronics</x:v>
      </x:c>
      <x:c r="F938" t="str">
        <x:v>Wales</x:v>
      </x:c>
      <x:c r="G938" t="str">
        <x:v>Online</x:v>
      </x:c>
      <x:c r="H938" t="str">
        <x:v>Completed</x:v>
      </x:c>
      <x:c r="I938" t="n">
        <x:v>3</x:v>
      </x:c>
      <x:c r="J938" s="12" t="n">
        <x:v>288.63</x:v>
      </x:c>
      <x:c r="K938" s="12" t="n">
        <x:v>169.82</x:v>
      </x:c>
      <x:c r="L938" s="14" t="n">
        <x:v>0.1</x:v>
      </x:c>
      <x:c r="M938" s="12" t="n">
        <x:f>IF(H938="Completed",I938*J938*(1-L938),0)</x:f>
        <x:v>779.301</x:v>
      </x:c>
      <x:c r="N938" s="12" t="n">
        <x:f>IF(H938="Completed",I938*K938,0)</x:f>
        <x:v>509.46</x:v>
      </x:c>
      <x:c r="O938" s="12" t="n">
        <x:f>M938-N938</x:f>
        <x:v>269.84100000000007</x:v>
      </x:c>
      <x:c r="P938" s="16" t="n">
        <x:f>IFERROR(O938/M938,0)</x:f>
        <x:v>0.3462603025018575</x:v>
      </x:c>
      <x:c r="Q938" t="n">
        <x:f>YEAR(B938)</x:f>
        <x:v>2026</x:v>
      </x:c>
      <x:c r="R938" t="str">
        <x:f>TEXT(B938,"yyyy-mm")</x:f>
        <x:v>2026-08</x:v>
      </x:c>
    </x:row>
    <x:row r="939">
      <x:c r="A939" t="n">
        <x:v>10316</x:v>
      </x:c>
      <x:c r="B939" s="10" t="n">
        <x:v>46250</x:v>
      </x:c>
      <x:c r="C939" t="str">
        <x:v>P006</x:v>
      </x:c>
      <x:c r="D939" t="str">
        <x:v>Chair</x:v>
      </x:c>
      <x:c r="E939" t="str">
        <x:v>Furniture</x:v>
      </x:c>
      <x:c r="F939" t="str">
        <x:v>Wales</x:v>
      </x:c>
      <x:c r="G939" t="str">
        <x:v>Online</x:v>
      </x:c>
      <x:c r="H939" t="str">
        <x:v>Completed</x:v>
      </x:c>
      <x:c r="I939" t="n">
        <x:v>4</x:v>
      </x:c>
      <x:c r="J939" s="12" t="n">
        <x:v>131.83</x:v>
      </x:c>
      <x:c r="K939" s="12" t="n">
        <x:v>69.95</x:v>
      </x:c>
      <x:c r="L939" s="14" t="n">
        <x:v>0.15</x:v>
      </x:c>
      <x:c r="M939" s="12" t="n">
        <x:f>IF(H939="Completed",I939*J939*(1-L939),0)</x:f>
        <x:v>448.22200000000004</x:v>
      </x:c>
      <x:c r="N939" s="12" t="n">
        <x:f>IF(H939="Completed",I939*K939,0)</x:f>
        <x:v>279.8</x:v>
      </x:c>
      <x:c r="O939" s="12" t="n">
        <x:f>M939-N939</x:f>
        <x:v>168.42200000000003</x:v>
      </x:c>
      <x:c r="P939" s="16" t="n">
        <x:f>IFERROR(O939/M939,0)</x:f>
        <x:v>0.37575576388486065</x:v>
      </x:c>
      <x:c r="Q939" t="n">
        <x:f>YEAR(B939)</x:f>
        <x:v>2026</x:v>
      </x:c>
      <x:c r="R939" t="str">
        <x:f>TEXT(B939,"yyyy-mm")</x:f>
        <x:v>2026-08</x:v>
      </x:c>
    </x:row>
    <x:row r="940">
      <x:c r="A940" t="n">
        <x:v>10755</x:v>
      </x:c>
      <x:c r="B940" s="10" t="n">
        <x:v>46250</x:v>
      </x:c>
      <x:c r="C940" t="str">
        <x:v>P002</x:v>
      </x:c>
      <x:c r="D940" t="str">
        <x:v>Monitor</x:v>
      </x:c>
      <x:c r="E940" t="str">
        <x:v>Electronics</x:v>
      </x:c>
      <x:c r="F940" t="str">
        <x:v>Scotland</x:v>
      </x:c>
      <x:c r="G940" t="str">
        <x:v>Online</x:v>
      </x:c>
      <x:c r="H940" t="str">
        <x:v>Completed</x:v>
      </x:c>
      <x:c r="I940" t="n">
        <x:v>2</x:v>
      </x:c>
      <x:c r="J940" s="12" t="n">
        <x:v>291.46</x:v>
      </x:c>
      <x:c r="K940" s="12" t="n">
        <x:v>171.22</x:v>
      </x:c>
      <x:c r="L940" s="14" t="n">
        <x:v>0.1</x:v>
      </x:c>
      <x:c r="M940" s="12" t="n">
        <x:f>IF(H940="Completed",I940*J940*(1-L940),0)</x:f>
        <x:v>524.6279999999999</x:v>
      </x:c>
      <x:c r="N940" s="12" t="n">
        <x:f>IF(H940="Completed",I940*K940,0)</x:f>
        <x:v>342.44</x:v>
      </x:c>
      <x:c r="O940" s="12" t="n">
        <x:f>M940-N940</x:f>
        <x:v>182.18799999999993</x:v>
      </x:c>
      <x:c r="P940" s="16" t="n">
        <x:f>IFERROR(O940/M940,0)</x:f>
        <x:v>0.3472708280915238</x:v>
      </x:c>
      <x:c r="Q940" t="n">
        <x:f>YEAR(B940)</x:f>
        <x:v>2026</x:v>
      </x:c>
      <x:c r="R940" t="str">
        <x:f>TEXT(B940,"yyyy-mm")</x:f>
        <x:v>2026-08</x:v>
      </x:c>
    </x:row>
    <x:row r="941">
      <x:c r="A941" t="n">
        <x:v>10558</x:v>
      </x:c>
      <x:c r="B941" s="10" t="n">
        <x:v>46251</x:v>
      </x:c>
      <x:c r="C941" t="str">
        <x:v>P002</x:v>
      </x:c>
      <x:c r="D941" t="str">
        <x:v>Monitor</x:v>
      </x:c>
      <x:c r="E941" t="str">
        <x:v>Electronics</x:v>
      </x:c>
      <x:c r="F941" t="str">
        <x:v>South</x:v>
      </x:c>
      <x:c r="G941" t="str">
        <x:v>Online</x:v>
      </x:c>
      <x:c r="H941" t="str">
        <x:v>Completed</x:v>
      </x:c>
      <x:c r="I941" t="n">
        <x:v>3</x:v>
      </x:c>
      <x:c r="J941" s="12" t="n">
        <x:v>293.68</x:v>
      </x:c>
      <x:c r="K941" s="12" t="n">
        <x:v>168.45</x:v>
      </x:c>
      <x:c r="L941" s="14" t="n">
        <x:v>0</x:v>
      </x:c>
      <x:c r="M941" s="12" t="n">
        <x:f>IF(H941="Completed",I941*J941*(1-L941),0)</x:f>
        <x:v>881.04</x:v>
      </x:c>
      <x:c r="N941" s="12" t="n">
        <x:f>IF(H941="Completed",I941*K941,0)</x:f>
        <x:v>505.34999999999997</x:v>
      </x:c>
      <x:c r="O941" s="12" t="n">
        <x:f>M941-N941</x:f>
        <x:v>375.69</x:v>
      </x:c>
      <x:c r="P941" s="16" t="n">
        <x:f>IFERROR(O941/M941,0)</x:f>
        <x:v>0.42641650776355217</x:v>
      </x:c>
      <x:c r="Q941" t="n">
        <x:f>YEAR(B941)</x:f>
        <x:v>2026</x:v>
      </x:c>
      <x:c r="R941" t="str">
        <x:f>TEXT(B941,"yyyy-mm")</x:f>
        <x:v>2026-08</x:v>
      </x:c>
    </x:row>
    <x:row r="942">
      <x:c r="A942" t="n">
        <x:v>10050</x:v>
      </x:c>
      <x:c r="B942" s="10" t="n">
        <x:v>46254</x:v>
      </x:c>
      <x:c r="C942" t="str">
        <x:v>P007</x:v>
      </x:c>
      <x:c r="D942" t="str">
        <x:v>Headset</x:v>
      </x:c>
      <x:c r="E942" t="str">
        <x:v>Accessories</x:v>
      </x:c>
      <x:c r="F942" t="str">
        <x:v>South</x:v>
      </x:c>
      <x:c r="G942" t="str">
        <x:v>Online</x:v>
      </x:c>
      <x:c r="H942" t="str">
        <x:v>Cancelled</x:v>
      </x:c>
      <x:c r="I942" t="n">
        <x:v>2</x:v>
      </x:c>
      <x:c r="J942" s="12" t="n">
        <x:v>71.37</x:v>
      </x:c>
      <x:c r="K942" s="12" t="n">
        <x:v>34.67</x:v>
      </x:c>
      <x:c r="L942" s="14" t="n">
        <x:v>0</x:v>
      </x:c>
      <x:c r="M942" s="12" t="n">
        <x:f>IF(H942="Completed",I942*J942*(1-L942),0)</x:f>
        <x:v>0</x:v>
      </x:c>
      <x:c r="N942" s="12" t="n">
        <x:f>IF(H942="Completed",I942*K942,0)</x:f>
        <x:v>0</x:v>
      </x:c>
      <x:c r="O942" s="12" t="n">
        <x:f>M942-N942</x:f>
        <x:v>0</x:v>
      </x:c>
      <x:c r="P942" s="16" t="n">
        <x:f>IFERROR(O942/M942,0)</x:f>
        <x:v>0</x:v>
      </x:c>
      <x:c r="Q942" t="n">
        <x:f>YEAR(B942)</x:f>
        <x:v>2026</x:v>
      </x:c>
      <x:c r="R942" t="str">
        <x:f>TEXT(B942,"yyyy-mm")</x:f>
        <x:v>2026-08</x:v>
      </x:c>
    </x:row>
    <x:row r="943">
      <x:c r="A943" t="n">
        <x:v>10328</x:v>
      </x:c>
      <x:c r="B943" s="10" t="n">
        <x:v>46255</x:v>
      </x:c>
      <x:c r="C943" t="str">
        <x:v>P001</x:v>
      </x:c>
      <x:c r="D943" t="str">
        <x:v>Laptop</x:v>
      </x:c>
      <x:c r="E943" t="str">
        <x:v>Electronics</x:v>
      </x:c>
      <x:c r="F943" t="str">
        <x:v>North</x:v>
      </x:c>
      <x:c r="G943" t="str">
        <x:v>Retail</x:v>
      </x:c>
      <x:c r="H943" t="str">
        <x:v>Completed</x:v>
      </x:c>
      <x:c r="I943" t="n">
        <x:v>3</x:v>
      </x:c>
      <x:c r="J943" s="12" t="n">
        <x:v>917.63</x:v>
      </x:c>
      <x:c r="K943" s="12" t="n">
        <x:v>627.63</x:v>
      </x:c>
      <x:c r="L943" s="14" t="n">
        <x:v>0.15</x:v>
      </x:c>
      <x:c r="M943" s="12" t="n">
        <x:f>IF(H943="Completed",I943*J943*(1-L943),0)</x:f>
        <x:v>2339.9565</x:v>
      </x:c>
      <x:c r="N943" s="12" t="n">
        <x:f>IF(H943="Completed",I943*K943,0)</x:f>
        <x:v>1882.8899999999999</x:v>
      </x:c>
      <x:c r="O943" s="12" t="n">
        <x:f>M943-N943</x:f>
        <x:v>457.0664999999999</x:v>
      </x:c>
      <x:c r="P943" s="16" t="n">
        <x:f>IFERROR(O943/M943,0)</x:f>
        <x:v>0.19533119525939904</x:v>
      </x:c>
      <x:c r="Q943" t="n">
        <x:f>YEAR(B943)</x:f>
        <x:v>2026</x:v>
      </x:c>
      <x:c r="R943" t="str">
        <x:f>TEXT(B943,"yyyy-mm")</x:f>
        <x:v>2026-08</x:v>
      </x:c>
    </x:row>
    <x:row r="944">
      <x:c r="A944" t="n">
        <x:v>10938</x:v>
      </x:c>
      <x:c r="B944" s="10" t="n">
        <x:v>46255</x:v>
      </x:c>
      <x:c r="C944" t="str">
        <x:v>P007</x:v>
      </x:c>
      <x:c r="D944" t="str">
        <x:v>Headset</x:v>
      </x:c>
      <x:c r="E944" t="str">
        <x:v>Accessories</x:v>
      </x:c>
      <x:c r="F944" t="str">
        <x:v>North</x:v>
      </x:c>
      <x:c r="G944" t="str">
        <x:v>Partner</x:v>
      </x:c>
      <x:c r="H944" t="str">
        <x:v>Completed</x:v>
      </x:c>
      <x:c r="I944" t="n">
        <x:v>1</x:v>
      </x:c>
      <x:c r="J944" s="12" t="n">
        <x:v>70.81</x:v>
      </x:c>
      <x:c r="K944" s="12" t="n">
        <x:v>34.96</x:v>
      </x:c>
      <x:c r="L944" s="14" t="n">
        <x:v>0</x:v>
      </x:c>
      <x:c r="M944" s="12" t="n">
        <x:f>IF(H944="Completed",I944*J944*(1-L944),0)</x:f>
        <x:v>70.81</x:v>
      </x:c>
      <x:c r="N944" s="12" t="n">
        <x:f>IF(H944="Completed",I944*K944,0)</x:f>
        <x:v>34.96</x:v>
      </x:c>
      <x:c r="O944" s="12" t="n">
        <x:f>M944-N944</x:f>
        <x:v>35.85</x:v>
      </x:c>
      <x:c r="P944" s="16" t="n">
        <x:f>IFERROR(O944/M944,0)</x:f>
        <x:v>0.5062844231040814</x:v>
      </x:c>
      <x:c r="Q944" t="n">
        <x:f>YEAR(B944)</x:f>
        <x:v>2026</x:v>
      </x:c>
      <x:c r="R944" t="str">
        <x:f>TEXT(B944,"yyyy-mm")</x:f>
        <x:v>2026-08</x:v>
      </x:c>
    </x:row>
    <x:row r="945">
      <x:c r="A945" t="n">
        <x:v>10765</x:v>
      </x:c>
      <x:c r="B945" s="10" t="n">
        <x:v>46256</x:v>
      </x:c>
      <x:c r="C945" t="str">
        <x:v>P005</x:v>
      </x:c>
      <x:c r="D945" t="str">
        <x:v>Desk</x:v>
      </x:c>
      <x:c r="E945" t="str">
        <x:v>Furniture</x:v>
      </x:c>
      <x:c r="F945" t="str">
        <x:v>Midlands</x:v>
      </x:c>
      <x:c r="G945" t="str">
        <x:v>Partner</x:v>
      </x:c>
      <x:c r="H945" t="str">
        <x:v>Cancelled</x:v>
      </x:c>
      <x:c r="I945" t="n">
        <x:v>3</x:v>
      </x:c>
      <x:c r="J945" s="12" t="n">
        <x:v>276.47</x:v>
      </x:c>
      <x:c r="K945" s="12" t="n">
        <x:v>152.43</x:v>
      </x:c>
      <x:c r="L945" s="14" t="n">
        <x:v>0</x:v>
      </x:c>
      <x:c r="M945" s="12" t="n">
        <x:f>IF(H945="Completed",I945*J945*(1-L945),0)</x:f>
        <x:v>0</x:v>
      </x:c>
      <x:c r="N945" s="12" t="n">
        <x:f>IF(H945="Completed",I945*K945,0)</x:f>
        <x:v>0</x:v>
      </x:c>
      <x:c r="O945" s="12" t="n">
        <x:f>M945-N945</x:f>
        <x:v>0</x:v>
      </x:c>
      <x:c r="P945" s="16" t="n">
        <x:f>IFERROR(O945/M945,0)</x:f>
        <x:v>0</x:v>
      </x:c>
      <x:c r="Q945" t="n">
        <x:f>YEAR(B945)</x:f>
        <x:v>2026</x:v>
      </x:c>
      <x:c r="R945" t="str">
        <x:f>TEXT(B945,"yyyy-mm")</x:f>
        <x:v>2026-08</x:v>
      </x:c>
    </x:row>
    <x:row r="946">
      <x:c r="A946" t="n">
        <x:v>10434</x:v>
      </x:c>
      <x:c r="B946" s="10" t="n">
        <x:v>46257</x:v>
      </x:c>
      <x:c r="C946" t="str">
        <x:v>P003</x:v>
      </x:c>
      <x:c r="D946" t="str">
        <x:v>Keyboard</x:v>
      </x:c>
      <x:c r="E946" t="str">
        <x:v>Accessories</x:v>
      </x:c>
      <x:c r="F946" t="str">
        <x:v>Midlands</x:v>
      </x:c>
      <x:c r="G946" t="str">
        <x:v>Retail</x:v>
      </x:c>
      <x:c r="H946" t="str">
        <x:v>Cancelled</x:v>
      </x:c>
      <x:c r="I946" t="n">
        <x:v>1</x:v>
      </x:c>
      <x:c r="J946" s="12" t="n">
        <x:v>49.03</x:v>
      </x:c>
      <x:c r="K946" s="12" t="n">
        <x:v>26.27</x:v>
      </x:c>
      <x:c r="L946" s="14" t="n">
        <x:v>0.15</x:v>
      </x:c>
      <x:c r="M946" s="12" t="n">
        <x:f>IF(H946="Completed",I946*J946*(1-L946),0)</x:f>
        <x:v>0</x:v>
      </x:c>
      <x:c r="N946" s="12" t="n">
        <x:f>IF(H946="Completed",I946*K946,0)</x:f>
        <x:v>0</x:v>
      </x:c>
      <x:c r="O946" s="12" t="n">
        <x:f>M946-N946</x:f>
        <x:v>0</x:v>
      </x:c>
      <x:c r="P946" s="16" t="n">
        <x:f>IFERROR(O946/M946,0)</x:f>
        <x:v>0</x:v>
      </x:c>
      <x:c r="Q946" t="n">
        <x:f>YEAR(B946)</x:f>
        <x:v>2026</x:v>
      </x:c>
      <x:c r="R946" t="str">
        <x:f>TEXT(B946,"yyyy-mm")</x:f>
        <x:v>2026-08</x:v>
      </x:c>
    </x:row>
    <x:row r="947">
      <x:c r="A947" t="n">
        <x:v>10207</x:v>
      </x:c>
      <x:c r="B947" s="10" t="n">
        <x:v>46260</x:v>
      </x:c>
      <x:c r="C947" t="str">
        <x:v>P007</x:v>
      </x:c>
      <x:c r="D947" t="str">
        <x:v>Headset</x:v>
      </x:c>
      <x:c r="E947" t="str">
        <x:v>Accessories</x:v>
      </x:c>
      <x:c r="F947" t="str">
        <x:v>Midlands</x:v>
      </x:c>
      <x:c r="G947" t="str">
        <x:v>Partner</x:v>
      </x:c>
      <x:c r="H947" t="str">
        <x:v>Completed</x:v>
      </x:c>
      <x:c r="I947" t="n">
        <x:v>4</x:v>
      </x:c>
      <x:c r="J947" s="12" t="n">
        <x:v>74.55</x:v>
      </x:c>
      <x:c r="K947" s="12" t="n">
        <x:v>35.56</x:v>
      </x:c>
      <x:c r="L947" s="14" t="n">
        <x:v>0</x:v>
      </x:c>
      <x:c r="M947" s="12" t="n">
        <x:f>IF(H947="Completed",I947*J947*(1-L947),0)</x:f>
        <x:v>298.2</x:v>
      </x:c>
      <x:c r="N947" s="12" t="n">
        <x:f>IF(H947="Completed",I947*K947,0)</x:f>
        <x:v>142.24</x:v>
      </x:c>
      <x:c r="O947" s="12" t="n">
        <x:f>M947-N947</x:f>
        <x:v>155.95999999999998</x:v>
      </x:c>
      <x:c r="P947" s="16" t="n">
        <x:f>IFERROR(O947/M947,0)</x:f>
        <x:v>0.5230046948356807</x:v>
      </x:c>
      <x:c r="Q947" t="n">
        <x:f>YEAR(B947)</x:f>
        <x:v>2026</x:v>
      </x:c>
      <x:c r="R947" t="str">
        <x:f>TEXT(B947,"yyyy-mm")</x:f>
        <x:v>2026-08</x:v>
      </x:c>
    </x:row>
    <x:row r="948">
      <x:c r="A948" t="n">
        <x:v>10017</x:v>
      </x:c>
      <x:c r="B948" s="10" t="n">
        <x:v>46261</x:v>
      </x:c>
      <x:c r="C948" t="str">
        <x:v>P002</x:v>
      </x:c>
      <x:c r="D948" t="str">
        <x:v>Monitor</x:v>
      </x:c>
      <x:c r="E948" t="str">
        <x:v>Electronics</x:v>
      </x:c>
      <x:c r="F948" t="str">
        <x:v>South</x:v>
      </x:c>
      <x:c r="G948" t="str">
        <x:v>Retail</x:v>
      </x:c>
      <x:c r="H948" t="str">
        <x:v>Cancelled</x:v>
      </x:c>
      <x:c r="I948" t="n">
        <x:v>1</x:v>
      </x:c>
      <x:c r="J948" s="12" t="n">
        <x:v>279.01</x:v>
      </x:c>
      <x:c r="K948" s="12" t="n">
        <x:v>170.64</x:v>
      </x:c>
      <x:c r="L948" s="14" t="n">
        <x:v>0</x:v>
      </x:c>
      <x:c r="M948" s="12" t="n">
        <x:f>IF(H948="Completed",I948*J948*(1-L948),0)</x:f>
        <x:v>0</x:v>
      </x:c>
      <x:c r="N948" s="12" t="n">
        <x:f>IF(H948="Completed",I948*K948,0)</x:f>
        <x:v>0</x:v>
      </x:c>
      <x:c r="O948" s="12" t="n">
        <x:f>M948-N948</x:f>
        <x:v>0</x:v>
      </x:c>
      <x:c r="P948" s="16" t="n">
        <x:f>IFERROR(O948/M948,0)</x:f>
        <x:v>0</x:v>
      </x:c>
      <x:c r="Q948" t="n">
        <x:f>YEAR(B948)</x:f>
        <x:v>2026</x:v>
      </x:c>
      <x:c r="R948" t="str">
        <x:f>TEXT(B948,"yyyy-mm")</x:f>
        <x:v>2026-08</x:v>
      </x:c>
    </x:row>
    <x:row r="949">
      <x:c r="A949" t="n">
        <x:v>10366</x:v>
      </x:c>
      <x:c r="B949" s="10" t="n">
        <x:v>46262</x:v>
      </x:c>
      <x:c r="C949" t="str">
        <x:v>P003</x:v>
      </x:c>
      <x:c r="D949" t="str">
        <x:v>Keyboard</x:v>
      </x:c>
      <x:c r="E949" t="str">
        <x:v>Accessories</x:v>
      </x:c>
      <x:c r="F949" t="str">
        <x:v>Scotland</x:v>
      </x:c>
      <x:c r="G949" t="str">
        <x:v>Retail</x:v>
      </x:c>
      <x:c r="H949" t="str">
        <x:v>Completed</x:v>
      </x:c>
      <x:c r="I949" t="n">
        <x:v>2</x:v>
      </x:c>
      <x:c r="J949" s="12" t="n">
        <x:v>48.59</x:v>
      </x:c>
      <x:c r="K949" s="12" t="n">
        <x:v>26.12</x:v>
      </x:c>
      <x:c r="L949" s="14" t="n">
        <x:v>0.1</x:v>
      </x:c>
      <x:c r="M949" s="12" t="n">
        <x:f>IF(H949="Completed",I949*J949*(1-L949),0)</x:f>
        <x:v>87.462</x:v>
      </x:c>
      <x:c r="N949" s="12" t="n">
        <x:f>IF(H949="Completed",I949*K949,0)</x:f>
        <x:v>52.24</x:v>
      </x:c>
      <x:c r="O949" s="12" t="n">
        <x:f>M949-N949</x:f>
        <x:v>35.222</x:v>
      </x:c>
      <x:c r="P949" s="16" t="n">
        <x:f>IFERROR(O949/M949,0)</x:f>
        <x:v>0.40271203494088864</x:v>
      </x:c>
      <x:c r="Q949" t="n">
        <x:f>YEAR(B949)</x:f>
        <x:v>2026</x:v>
      </x:c>
      <x:c r="R949" t="str">
        <x:f>TEXT(B949,"yyyy-mm")</x:f>
        <x:v>2026-08</x:v>
      </x:c>
    </x:row>
    <x:row r="950">
      <x:c r="A950" t="n">
        <x:v>10421</x:v>
      </x:c>
      <x:c r="B950" s="10" t="n">
        <x:v>46262</x:v>
      </x:c>
      <x:c r="C950" t="str">
        <x:v>P007</x:v>
      </x:c>
      <x:c r="D950" t="str">
        <x:v>Headset</x:v>
      </x:c>
      <x:c r="E950" t="str">
        <x:v>Accessories</x:v>
      </x:c>
      <x:c r="F950" t="str">
        <x:v>North</x:v>
      </x:c>
      <x:c r="G950" t="str">
        <x:v>Retail</x:v>
      </x:c>
      <x:c r="H950" t="str">
        <x:v>Completed</x:v>
      </x:c>
      <x:c r="I950" t="n">
        <x:v>1</x:v>
      </x:c>
      <x:c r="J950" s="12" t="n">
        <x:v>73.54</x:v>
      </x:c>
      <x:c r="K950" s="12" t="n">
        <x:v>35.33</x:v>
      </x:c>
      <x:c r="L950" s="14" t="n">
        <x:v>0</x:v>
      </x:c>
      <x:c r="M950" s="12" t="n">
        <x:f>IF(H950="Completed",I950*J950*(1-L950),0)</x:f>
        <x:v>73.54</x:v>
      </x:c>
      <x:c r="N950" s="12" t="n">
        <x:f>IF(H950="Completed",I950*K950,0)</x:f>
        <x:v>35.33</x:v>
      </x:c>
      <x:c r="O950" s="12" t="n">
        <x:f>M950-N950</x:f>
        <x:v>38.21000000000001</x:v>
      </x:c>
      <x:c r="P950" s="16" t="n">
        <x:f>IFERROR(O950/M950,0)</x:f>
        <x:v>0.5195811803100354</x:v>
      </x:c>
      <x:c r="Q950" t="n">
        <x:f>YEAR(B950)</x:f>
        <x:v>2026</x:v>
      </x:c>
      <x:c r="R950" t="str">
        <x:f>TEXT(B950,"yyyy-mm")</x:f>
        <x:v>2026-08</x:v>
      </x:c>
    </x:row>
    <x:row r="951">
      <x:c r="A951" t="n">
        <x:v>10705</x:v>
      </x:c>
      <x:c r="B951" s="10" t="n">
        <x:v>46265</x:v>
      </x:c>
      <x:c r="C951" t="str">
        <x:v>P002</x:v>
      </x:c>
      <x:c r="D951" t="str">
        <x:v>Monitor</x:v>
      </x:c>
      <x:c r="E951" t="str">
        <x:v>Electronics</x:v>
      </x:c>
      <x:c r="F951" t="str">
        <x:v>Midlands</x:v>
      </x:c>
      <x:c r="G951" t="str">
        <x:v>Online</x:v>
      </x:c>
      <x:c r="H951" t="str">
        <x:v>Completed</x:v>
      </x:c>
      <x:c r="I951" t="n">
        <x:v>3</x:v>
      </x:c>
      <x:c r="J951" s="12" t="n">
        <x:v>278.79</x:v>
      </x:c>
      <x:c r="K951" s="12" t="n">
        <x:v>171.11</x:v>
      </x:c>
      <x:c r="L951" s="14" t="n">
        <x:v>0</x:v>
      </x:c>
      <x:c r="M951" s="12" t="n">
        <x:f>IF(H951="Completed",I951*J951*(1-L951),0)</x:f>
        <x:v>836.3700000000001</x:v>
      </x:c>
      <x:c r="N951" s="12" t="n">
        <x:f>IF(H951="Completed",I951*K951,0)</x:f>
        <x:v>513.33</x:v>
      </x:c>
      <x:c r="O951" s="12" t="n">
        <x:f>M951-N951</x:f>
        <x:v>323.0400000000001</x:v>
      </x:c>
      <x:c r="P951" s="16" t="n">
        <x:f>IFERROR(O951/M951,0)</x:f>
        <x:v>0.3862405394741562</x:v>
      </x:c>
      <x:c r="Q951" t="n">
        <x:f>YEAR(B951)</x:f>
        <x:v>2026</x:v>
      </x:c>
      <x:c r="R951" t="str">
        <x:f>TEXT(B951,"yyyy-mm")</x:f>
        <x:v>2026-08</x:v>
      </x:c>
    </x:row>
  </x:sheetData>
  <x:conditionalFormatting sqref="O2:O95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{0B15B61D-52A0-DF13-97A2-A9ACE932A014}</x14:id>
        </x:ext>
      </x:extLst>
    </x:cfRule>
  </x:conditionalFormatting>
  <x:conditionalFormatting sqref="H2:H951">
    <x:cfRule type="expression" dxfId="0" priority="2">
      <x:formula>H2="Cancelled"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d40c2f195746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B15B61D-52A0-DF13-97A2-A9ACE932A014}">
            <x14:dataBar gradient="1">
              <x14:cfvo type="min"/>
              <x14:cfvo type="max"/>
              <x14:fillColor rgb="FFA02B93"/>
            </x14:dataBar>
          </x14:cfRule>
          <xm:sqref>O2:O951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Month</x:v>
      </x:c>
      <x:c r="B1" s="3" t="str">
        <x:v>Revenue</x:v>
      </x:c>
      <x:c r="C1" s="3" t="str">
        <x:v>Gross Profit</x:v>
      </x:c>
      <x:c r="D1" s="3" t="str">
        <x:v>Completed Orders</x:v>
      </x:c>
    </x:row>
    <x:row r="2">
      <x:c r="A2" t="str">
        <x:v>2024-01</x:v>
      </x:c>
      <x:c r="B2" s="50" t="n">
        <x:f>SUMIFS(Transactions!$M$2:$M$951,Transactions!$R$2:$R$951,A2)</x:f>
        <x:v>21754.791499999996</x:v>
      </x:c>
      <x:c r="C2" s="50" t="n">
        <x:f>SUMIFS(Transactions!$O$2:$O$951,Transactions!$R$2:$R$951,A2)</x:f>
        <x:v>7626.771499999998</x:v>
      </x:c>
      <x:c r="D2" t="n">
        <x:f>COUNTIFS(Transactions!$R$2:$R$951,A2,Transactions!$H$2:$H$951,"Completed")</x:f>
        <x:v>30</x:v>
      </x:c>
    </x:row>
    <x:row r="3">
      <x:c r="A3" t="str">
        <x:v>2024-02</x:v>
      </x:c>
      <x:c r="B3" s="50" t="n">
        <x:f>SUMIFS(Transactions!$M$2:$M$951,Transactions!$R$2:$R$951,A3)</x:f>
        <x:v>11162.4615</x:v>
      </x:c>
      <x:c r="C3" s="50" t="n">
        <x:f>SUMIFS(Transactions!$O$2:$O$951,Transactions!$R$2:$R$951,A3)</x:f>
        <x:v>4240.021499999999</x:v>
      </x:c>
      <x:c r="D3" t="n">
        <x:f>COUNTIFS(Transactions!$R$2:$R$951,A3,Transactions!$H$2:$H$951,"Completed")</x:f>
        <x:v>24</x:v>
      </x:c>
    </x:row>
    <x:row r="4">
      <x:c r="A4" t="str">
        <x:v>2024-03</x:v>
      </x:c>
      <x:c r="B4" s="50" t="n">
        <x:f>SUMIFS(Transactions!$M$2:$M$951,Transactions!$R$2:$R$951,A4)</x:f>
        <x:v>24926.766</x:v>
      </x:c>
      <x:c r="C4" s="50" t="n">
        <x:f>SUMIFS(Transactions!$O$2:$O$951,Transactions!$R$2:$R$951,A4)</x:f>
        <x:v>8398.386</x:v>
      </x:c>
      <x:c r="D4" t="n">
        <x:f>COUNTIFS(Transactions!$R$2:$R$951,A4,Transactions!$H$2:$H$951,"Completed")</x:f>
        <x:v>29</x:v>
      </x:c>
    </x:row>
    <x:row r="5">
      <x:c r="A5" t="str">
        <x:v>2024-04</x:v>
      </x:c>
      <x:c r="B5" s="50" t="n">
        <x:f>SUMIFS(Transactions!$M$2:$M$951,Transactions!$R$2:$R$951,A5)</x:f>
        <x:v>10286.296999999997</x:v>
      </x:c>
      <x:c r="C5" s="50" t="n">
        <x:f>SUMIFS(Transactions!$O$2:$O$951,Transactions!$R$2:$R$951,A5)</x:f>
        <x:v>3777.567000000001</x:v>
      </x:c>
      <x:c r="D5" t="n">
        <x:f>COUNTIFS(Transactions!$R$2:$R$951,A5,Transactions!$H$2:$H$951,"Completed")</x:f>
        <x:v>23</x:v>
      </x:c>
    </x:row>
    <x:row r="6">
      <x:c r="A6" t="str">
        <x:v>2024-05</x:v>
      </x:c>
      <x:c r="B6" s="50" t="n">
        <x:f>SUMIFS(Transactions!$M$2:$M$951,Transactions!$R$2:$R$951,A6)</x:f>
        <x:v>23762.565999999995</x:v>
      </x:c>
      <x:c r="C6" s="50" t="n">
        <x:f>SUMIFS(Transactions!$O$2:$O$951,Transactions!$R$2:$R$951,A6)</x:f>
        <x:v>7282.335999999999</x:v>
      </x:c>
      <x:c r="D6" t="n">
        <x:f>COUNTIFS(Transactions!$R$2:$R$951,A6,Transactions!$H$2:$H$951,"Completed")</x:f>
        <x:v>26</x:v>
      </x:c>
    </x:row>
    <x:row r="7">
      <x:c r="A7" t="str">
        <x:v>2024-06</x:v>
      </x:c>
      <x:c r="B7" s="50" t="n">
        <x:f>SUMIFS(Transactions!$M$2:$M$951,Transactions!$R$2:$R$951,A7)</x:f>
        <x:v>16556.120999999996</x:v>
      </x:c>
      <x:c r="C7" s="50" t="n">
        <x:f>SUMIFS(Transactions!$O$2:$O$951,Transactions!$R$2:$R$951,A7)</x:f>
        <x:v>5463.000999999998</x:v>
      </x:c>
      <x:c r="D7" t="n">
        <x:f>COUNTIFS(Transactions!$R$2:$R$951,A7,Transactions!$H$2:$H$951,"Completed")</x:f>
        <x:v>25</x:v>
      </x:c>
    </x:row>
    <x:row r="8">
      <x:c r="A8" t="str">
        <x:v>2024-07</x:v>
      </x:c>
      <x:c r="B8" s="50" t="n">
        <x:f>SUMIFS(Transactions!$M$2:$M$951,Transactions!$R$2:$R$951,A8)</x:f>
        <x:v>17081.274500000003</x:v>
      </x:c>
      <x:c r="C8" s="50" t="n">
        <x:f>SUMIFS(Transactions!$O$2:$O$951,Transactions!$R$2:$R$951,A8)</x:f>
        <x:v>6368.474499999998</x:v>
      </x:c>
      <x:c r="D8" t="n">
        <x:f>COUNTIFS(Transactions!$R$2:$R$951,A8,Transactions!$H$2:$H$951,"Completed")</x:f>
        <x:v>22</x:v>
      </x:c>
    </x:row>
    <x:row r="9">
      <x:c r="A9" t="str">
        <x:v>2024-08</x:v>
      </x:c>
      <x:c r="B9" s="50" t="n">
        <x:f>SUMIFS(Transactions!$M$2:$M$951,Transactions!$R$2:$R$951,A9)</x:f>
        <x:v>7703.104000000002</x:v>
      </x:c>
      <x:c r="C9" s="50" t="n">
        <x:f>SUMIFS(Transactions!$O$2:$O$951,Transactions!$R$2:$R$951,A9)</x:f>
        <x:v>2572.634</x:v>
      </x:c>
      <x:c r="D9" t="n">
        <x:f>COUNTIFS(Transactions!$R$2:$R$951,A9,Transactions!$H$2:$H$951,"Completed")</x:f>
        <x:v>17</x:v>
      </x:c>
    </x:row>
    <x:row r="10">
      <x:c r="A10" t="str">
        <x:v>2024-09</x:v>
      </x:c>
      <x:c r="B10" s="50" t="n">
        <x:f>SUMIFS(Transactions!$M$2:$M$951,Transactions!$R$2:$R$951,A10)</x:f>
        <x:v>7285.389000000002</x:v>
      </x:c>
      <x:c r="C10" s="50" t="n">
        <x:f>SUMIFS(Transactions!$O$2:$O$951,Transactions!$R$2:$R$951,A10)</x:f>
        <x:v>3194.059</x:v>
      </x:c>
      <x:c r="D10" t="n">
        <x:f>COUNTIFS(Transactions!$R$2:$R$951,A10,Transactions!$H$2:$H$951,"Completed")</x:f>
        <x:v>23</x:v>
      </x:c>
    </x:row>
    <x:row r="11">
      <x:c r="A11" t="str">
        <x:v>2024-10</x:v>
      </x:c>
      <x:c r="B11" s="50" t="n">
        <x:f>SUMIFS(Transactions!$M$2:$M$951,Transactions!$R$2:$R$951,A11)</x:f>
        <x:v>8323.501999999999</x:v>
      </x:c>
      <x:c r="C11" s="50" t="n">
        <x:f>SUMIFS(Transactions!$O$2:$O$951,Transactions!$R$2:$R$951,A11)</x:f>
        <x:v>3020.3520000000003</x:v>
      </x:c>
      <x:c r="D11" t="n">
        <x:f>COUNTIFS(Transactions!$R$2:$R$951,A11,Transactions!$H$2:$H$951,"Completed")</x:f>
        <x:v>19</x:v>
      </x:c>
    </x:row>
    <x:row r="12">
      <x:c r="A12" t="str">
        <x:v>2024-11</x:v>
      </x:c>
      <x:c r="B12" s="50" t="n">
        <x:f>SUMIFS(Transactions!$M$2:$M$951,Transactions!$R$2:$R$951,A12)</x:f>
        <x:v>15241.153999999999</x:v>
      </x:c>
      <x:c r="C12" s="50" t="n">
        <x:f>SUMIFS(Transactions!$O$2:$O$951,Transactions!$R$2:$R$951,A12)</x:f>
        <x:v>5905.284</x:v>
      </x:c>
      <x:c r="D12" t="n">
        <x:f>COUNTIFS(Transactions!$R$2:$R$951,A12,Transactions!$H$2:$H$951,"Completed")</x:f>
        <x:v>34</x:v>
      </x:c>
    </x:row>
    <x:row r="13">
      <x:c r="A13" t="str">
        <x:v>2024-12</x:v>
      </x:c>
      <x:c r="B13" s="50" t="n">
        <x:f>SUMIFS(Transactions!$M$2:$M$951,Transactions!$R$2:$R$951,A13)</x:f>
        <x:v>5939.100000000001</x:v>
      </x:c>
      <x:c r="C13" s="50" t="n">
        <x:f>SUMIFS(Transactions!$O$2:$O$951,Transactions!$R$2:$R$951,A13)</x:f>
        <x:v>2528.8200000000006</x:v>
      </x:c>
      <x:c r="D13" t="n">
        <x:f>COUNTIFS(Transactions!$R$2:$R$951,A13,Transactions!$H$2:$H$951,"Completed")</x:f>
        <x:v>14</x:v>
      </x:c>
    </x:row>
    <x:row r="14">
      <x:c r="A14" t="str">
        <x:v>2025-01</x:v>
      </x:c>
      <x:c r="B14" s="50" t="n">
        <x:f>SUMIFS(Transactions!$M$2:$M$951,Transactions!$R$2:$R$951,A14)</x:f>
        <x:v>14122.831999999999</x:v>
      </x:c>
      <x:c r="C14" s="50" t="n">
        <x:f>SUMIFS(Transactions!$O$2:$O$951,Transactions!$R$2:$R$951,A14)</x:f>
        <x:v>5285.802</x:v>
      </x:c>
      <x:c r="D14" t="n">
        <x:f>COUNTIFS(Transactions!$R$2:$R$951,A14,Transactions!$H$2:$H$951,"Completed")</x:f>
        <x:v>23</x:v>
      </x:c>
    </x:row>
    <x:row r="15">
      <x:c r="A15" t="str">
        <x:v>2025-02</x:v>
      </x:c>
      <x:c r="B15" s="50" t="n">
        <x:f>SUMIFS(Transactions!$M$2:$M$951,Transactions!$R$2:$R$951,A15)</x:f>
        <x:v>17615.7645</x:v>
      </x:c>
      <x:c r="C15" s="50" t="n">
        <x:f>SUMIFS(Transactions!$O$2:$O$951,Transactions!$R$2:$R$951,A15)</x:f>
        <x:v>6461.904499999999</x:v>
      </x:c>
      <x:c r="D15" t="n">
        <x:f>COUNTIFS(Transactions!$R$2:$R$951,A15,Transactions!$H$2:$H$951,"Completed")</x:f>
        <x:v>32</x:v>
      </x:c>
    </x:row>
    <x:row r="16">
      <x:c r="A16" t="str">
        <x:v>2025-03</x:v>
      </x:c>
      <x:c r="B16" s="50" t="n">
        <x:f>SUMIFS(Transactions!$M$2:$M$951,Transactions!$R$2:$R$951,A16)</x:f>
        <x:v>12913.595000000005</x:v>
      </x:c>
      <x:c r="C16" s="50" t="n">
        <x:f>SUMIFS(Transactions!$O$2:$O$951,Transactions!$R$2:$R$951,A16)</x:f>
        <x:v>4688.775</x:v>
      </x:c>
      <x:c r="D16" t="n">
        <x:f>COUNTIFS(Transactions!$R$2:$R$951,A16,Transactions!$H$2:$H$951,"Completed")</x:f>
        <x:v>27</x:v>
      </x:c>
    </x:row>
    <x:row r="17">
      <x:c r="A17" t="str">
        <x:v>2025-04</x:v>
      </x:c>
      <x:c r="B17" s="50" t="n">
        <x:f>SUMIFS(Transactions!$M$2:$M$951,Transactions!$R$2:$R$951,A17)</x:f>
        <x:v>13418.583999999999</x:v>
      </x:c>
      <x:c r="C17" s="50" t="n">
        <x:f>SUMIFS(Transactions!$O$2:$O$951,Transactions!$R$2:$R$951,A17)</x:f>
        <x:v>4678.764</x:v>
      </x:c>
      <x:c r="D17" t="n">
        <x:f>COUNTIFS(Transactions!$R$2:$R$951,A17,Transactions!$H$2:$H$951,"Completed")</x:f>
        <x:v>22</x:v>
      </x:c>
    </x:row>
    <x:row r="18">
      <x:c r="A18" t="str">
        <x:v>2025-05</x:v>
      </x:c>
      <x:c r="B18" s="50" t="n">
        <x:f>SUMIFS(Transactions!$M$2:$M$951,Transactions!$R$2:$R$951,A18)</x:f>
        <x:v>12050.989499999996</x:v>
      </x:c>
      <x:c r="C18" s="50" t="n">
        <x:f>SUMIFS(Transactions!$O$2:$O$951,Transactions!$R$2:$R$951,A18)</x:f>
        <x:v>3941.1894999999986</x:v>
      </x:c>
      <x:c r="D18" t="n">
        <x:f>COUNTIFS(Transactions!$R$2:$R$951,A18,Transactions!$H$2:$H$951,"Completed")</x:f>
        <x:v>22</x:v>
      </x:c>
    </x:row>
    <x:row r="19">
      <x:c r="A19" t="str">
        <x:v>2025-06</x:v>
      </x:c>
      <x:c r="B19" s="50" t="n">
        <x:f>SUMIFS(Transactions!$M$2:$M$951,Transactions!$R$2:$R$951,A19)</x:f>
        <x:v>10444.355500000001</x:v>
      </x:c>
      <x:c r="C19" s="50" t="n">
        <x:f>SUMIFS(Transactions!$O$2:$O$951,Transactions!$R$2:$R$951,A19)</x:f>
        <x:v>3684.2155</x:v>
      </x:c>
      <x:c r="D19" t="n">
        <x:f>COUNTIFS(Transactions!$R$2:$R$951,A19,Transactions!$H$2:$H$951,"Completed")</x:f>
        <x:v>15</x:v>
      </x:c>
    </x:row>
    <x:row r="20">
      <x:c r="A20" t="str">
        <x:v>2025-07</x:v>
      </x:c>
      <x:c r="B20" s="50" t="n">
        <x:f>SUMIFS(Transactions!$M$2:$M$951,Transactions!$R$2:$R$951,A20)</x:f>
        <x:v>17636.482999999997</x:v>
      </x:c>
      <x:c r="C20" s="50" t="n">
        <x:f>SUMIFS(Transactions!$O$2:$O$951,Transactions!$R$2:$R$951,A20)</x:f>
        <x:v>6183.753000000001</x:v>
      </x:c>
      <x:c r="D20" t="n">
        <x:f>COUNTIFS(Transactions!$R$2:$R$951,A20,Transactions!$H$2:$H$951,"Completed")</x:f>
        <x:v>30</x:v>
      </x:c>
    </x:row>
    <x:row r="21">
      <x:c r="A21" t="str">
        <x:v>2025-08</x:v>
      </x:c>
      <x:c r="B21" s="50" t="n">
        <x:f>SUMIFS(Transactions!$M$2:$M$951,Transactions!$R$2:$R$951,A21)</x:f>
        <x:v>7656.245500000001</x:v>
      </x:c>
      <x:c r="C21" s="50" t="n">
        <x:f>SUMIFS(Transactions!$O$2:$O$951,Transactions!$R$2:$R$951,A21)</x:f>
        <x:v>3100.0054999999998</x:v>
      </x:c>
      <x:c r="D21" t="n">
        <x:f>COUNTIFS(Transactions!$R$2:$R$951,A21,Transactions!$H$2:$H$951,"Completed")</x:f>
        <x:v>18</x:v>
      </x:c>
    </x:row>
    <x:row r="22">
      <x:c r="A22" t="str">
        <x:v>2025-09</x:v>
      </x:c>
      <x:c r="B22" s="50" t="n">
        <x:f>SUMIFS(Transactions!$M$2:$M$951,Transactions!$R$2:$R$951,A22)</x:f>
        <x:v>14098.824499999999</x:v>
      </x:c>
      <x:c r="C22" s="50" t="n">
        <x:f>SUMIFS(Transactions!$O$2:$O$951,Transactions!$R$2:$R$951,A22)</x:f>
        <x:v>5058.1945000000005</x:v>
      </x:c>
      <x:c r="D22" t="n">
        <x:f>COUNTIFS(Transactions!$R$2:$R$951,A22,Transactions!$H$2:$H$951,"Completed")</x:f>
        <x:v>27</x:v>
      </x:c>
    </x:row>
    <x:row r="23">
      <x:c r="A23" t="str">
        <x:v>2025-10</x:v>
      </x:c>
      <x:c r="B23" s="50" t="n">
        <x:f>SUMIFS(Transactions!$M$2:$M$951,Transactions!$R$2:$R$951,A23)</x:f>
        <x:v>7967.437000000001</x:v>
      </x:c>
      <x:c r="C23" s="50" t="n">
        <x:f>SUMIFS(Transactions!$O$2:$O$951,Transactions!$R$2:$R$951,A23)</x:f>
        <x:v>3418.5070000000005</x:v>
      </x:c>
      <x:c r="D23" t="n">
        <x:f>COUNTIFS(Transactions!$R$2:$R$951,A23,Transactions!$H$2:$H$951,"Completed")</x:f>
        <x:v>25</x:v>
      </x:c>
    </x:row>
    <x:row r="24">
      <x:c r="A24" t="str">
        <x:v>2025-11</x:v>
      </x:c>
      <x:c r="B24" s="50" t="n">
        <x:f>SUMIFS(Transactions!$M$2:$M$951,Transactions!$R$2:$R$951,A24)</x:f>
        <x:v>16812.180000000004</x:v>
      </x:c>
      <x:c r="C24" s="50" t="n">
        <x:f>SUMIFS(Transactions!$O$2:$O$951,Transactions!$R$2:$R$951,A24)</x:f>
        <x:v>5824.990000000002</x:v>
      </x:c>
      <x:c r="D24" t="n">
        <x:f>COUNTIFS(Transactions!$R$2:$R$951,A24,Transactions!$H$2:$H$951,"Completed")</x:f>
        <x:v>19</x:v>
      </x:c>
    </x:row>
    <x:row r="25">
      <x:c r="A25" t="str">
        <x:v>2025-12</x:v>
      </x:c>
      <x:c r="B25" s="50" t="n">
        <x:f>SUMIFS(Transactions!$M$2:$M$951,Transactions!$R$2:$R$951,A25)</x:f>
        <x:v>9248.179000000002</x:v>
      </x:c>
      <x:c r="C25" s="50" t="n">
        <x:f>SUMIFS(Transactions!$O$2:$O$951,Transactions!$R$2:$R$951,A25)</x:f>
        <x:v>3373.509</x:v>
      </x:c>
      <x:c r="D25" t="n">
        <x:f>COUNTIFS(Transactions!$R$2:$R$951,A25,Transactions!$H$2:$H$951,"Completed")</x:f>
        <x:v>19</x:v>
      </x:c>
    </x:row>
    <x:row r="26">
      <x:c r="A26" t="str">
        <x:v>2026-01</x:v>
      </x:c>
      <x:c r="B26" s="50" t="n">
        <x:f>SUMIFS(Transactions!$M$2:$M$951,Transactions!$R$2:$R$951,A26)</x:f>
        <x:v>26257.19250000001</x:v>
      </x:c>
      <x:c r="C26" s="50" t="n">
        <x:f>SUMIFS(Transactions!$O$2:$O$951,Transactions!$R$2:$R$951,A26)</x:f>
        <x:v>9087.1725</x:v>
      </x:c>
      <x:c r="D26" t="n">
        <x:f>COUNTIFS(Transactions!$R$2:$R$951,A26,Transactions!$H$2:$H$951,"Completed")</x:f>
        <x:v>31</x:v>
      </x:c>
    </x:row>
    <x:row r="27">
      <x:c r="A27" t="str">
        <x:v>2026-02</x:v>
      </x:c>
      <x:c r="B27" s="50" t="n">
        <x:f>SUMIFS(Transactions!$M$2:$M$951,Transactions!$R$2:$R$951,A27)</x:f>
        <x:v>13952.769999999995</x:v>
      </x:c>
      <x:c r="C27" s="50" t="n">
        <x:f>SUMIFS(Transactions!$O$2:$O$951,Transactions!$R$2:$R$951,A27)</x:f>
        <x:v>5051.139999999999</x:v>
      </x:c>
      <x:c r="D27" t="n">
        <x:f>COUNTIFS(Transactions!$R$2:$R$951,A27,Transactions!$H$2:$H$951,"Completed")</x:f>
        <x:v>25</x:v>
      </x:c>
    </x:row>
    <x:row r="28">
      <x:c r="A28" t="str">
        <x:v>2026-03</x:v>
      </x:c>
      <x:c r="B28" s="50" t="n">
        <x:f>SUMIFS(Transactions!$M$2:$M$951,Transactions!$R$2:$R$951,A28)</x:f>
        <x:v>16141.257999999998</x:v>
      </x:c>
      <x:c r="C28" s="50" t="n">
        <x:f>SUMIFS(Transactions!$O$2:$O$951,Transactions!$R$2:$R$951,A28)</x:f>
        <x:v>5887.2180000000035</x:v>
      </x:c>
      <x:c r="D28" t="n">
        <x:f>COUNTIFS(Transactions!$R$2:$R$951,A28,Transactions!$H$2:$H$951,"Completed")</x:f>
        <x:v>26</x:v>
      </x:c>
    </x:row>
    <x:row r="29">
      <x:c r="A29" t="str">
        <x:v>2026-04</x:v>
      </x:c>
      <x:c r="B29" s="50" t="n">
        <x:f>SUMIFS(Transactions!$M$2:$M$951,Transactions!$R$2:$R$951,A29)</x:f>
        <x:v>10405.745499999999</x:v>
      </x:c>
      <x:c r="C29" s="50" t="n">
        <x:f>SUMIFS(Transactions!$O$2:$O$951,Transactions!$R$2:$R$951,A29)</x:f>
        <x:v>3638.3354999999992</x:v>
      </x:c>
      <x:c r="D29" t="n">
        <x:f>COUNTIFS(Transactions!$R$2:$R$951,A29,Transactions!$H$2:$H$951,"Completed")</x:f>
        <x:v>20</x:v>
      </x:c>
    </x:row>
    <x:row r="30">
      <x:c r="A30" t="str">
        <x:v>2026-05</x:v>
      </x:c>
      <x:c r="B30" s="50" t="n">
        <x:f>SUMIFS(Transactions!$M$2:$M$951,Transactions!$R$2:$R$951,A30)</x:f>
        <x:v>13515.658999999998</x:v>
      </x:c>
      <x:c r="C30" s="50" t="n">
        <x:f>SUMIFS(Transactions!$O$2:$O$951,Transactions!$R$2:$R$951,A30)</x:f>
        <x:v>5097.409000000001</x:v>
      </x:c>
      <x:c r="D30" t="n">
        <x:f>COUNTIFS(Transactions!$R$2:$R$951,A30,Transactions!$H$2:$H$951,"Completed")</x:f>
        <x:v>27</x:v>
      </x:c>
    </x:row>
    <x:row r="31">
      <x:c r="A31" t="str">
        <x:v>2026-06</x:v>
      </x:c>
      <x:c r="B31" s="50" t="n">
        <x:f>SUMIFS(Transactions!$M$2:$M$951,Transactions!$R$2:$R$951,A31)</x:f>
        <x:v>13128.3285</x:v>
      </x:c>
      <x:c r="C31" s="50" t="n">
        <x:f>SUMIFS(Transactions!$O$2:$O$951,Transactions!$R$2:$R$951,A31)</x:f>
        <x:v>5081.468499999998</x:v>
      </x:c>
      <x:c r="D31" t="n">
        <x:f>COUNTIFS(Transactions!$R$2:$R$951,A31,Transactions!$H$2:$H$951,"Completed")</x:f>
        <x:v>25</x:v>
      </x:c>
    </x:row>
    <x:row r="32">
      <x:c r="A32" t="str">
        <x:v>2026-07</x:v>
      </x:c>
      <x:c r="B32" s="50" t="n">
        <x:f>SUMIFS(Transactions!$M$2:$M$951,Transactions!$R$2:$R$951,A32)</x:f>
        <x:v>10013.454</x:v>
      </x:c>
      <x:c r="C32" s="50" t="n">
        <x:f>SUMIFS(Transactions!$O$2:$O$951,Transactions!$R$2:$R$951,A32)</x:f>
        <x:v>3627.203999999999</x:v>
      </x:c>
      <x:c r="D32" t="n">
        <x:f>COUNTIFS(Transactions!$R$2:$R$951,A32,Transactions!$H$2:$H$951,"Completed")</x:f>
        <x:v>21</x:v>
      </x:c>
    </x:row>
    <x:row r="33">
      <x:c r="A33" t="str">
        <x:v>2026-08</x:v>
      </x:c>
      <x:c r="B33" s="50" t="n">
        <x:f>SUMIFS(Transactions!$M$2:$M$951,Transactions!$R$2:$R$951,A33)</x:f>
        <x:v>12268.199500000002</x:v>
      </x:c>
      <x:c r="C33" s="50" t="n">
        <x:f>SUMIFS(Transactions!$O$2:$O$951,Transactions!$R$2:$R$951,A33)</x:f>
        <x:v>4091.4295</x:v>
      </x:c>
      <x:c r="D33" t="n">
        <x:f>COUNTIFS(Transactions!$R$2:$R$951,A33,Transactions!$H$2:$H$951,"Completed")</x:f>
        <x:v>18</x:v>
      </x:c>
    </x:row>
  </x:sheetData>
  <x:pageMargins left="0.7" right="0.7" top="0.75" bottom="0.75" header="0.3" footer="0.3"/>
  <x:drawing xmlns:r="http://schemas.openxmlformats.org/officeDocument/2006/relationships" r:id="R2943710848a84721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Product</x:v>
      </x:c>
      <x:c r="B1" s="3" t="str">
        <x:v>Category</x:v>
      </x:c>
      <x:c r="C1" s="3" t="str">
        <x:v>Revenue</x:v>
      </x:c>
      <x:c r="D1" s="3" t="str">
        <x:v>Gross Profit</x:v>
      </x:c>
      <x:c r="E1" s="3" t="str">
        <x:v>Margin</x:v>
      </x:c>
      <x:c r="F1" s="3" t="str">
        <x:v>Units Sold</x:v>
      </x:c>
    </x:row>
    <x:row r="2">
      <x:c r="A2" t="str">
        <x:v>Laptop</x:v>
      </x:c>
      <x:c r="B2" t="str">
        <x:v>Electronics</x:v>
      </x:c>
      <x:c r="C2" s="50" t="n">
        <x:f>SUMIFS(Transactions!$M$2:$M$951,Transactions!$D$2:$D$951,A2)</x:f>
        <x:v>209992.1075</x:v>
      </x:c>
      <x:c r="D2" s="50" t="n">
        <x:f>SUMIFS(Transactions!$O$2:$O$951,Transactions!$D$2:$D$951,A2)</x:f>
        <x:v>60882.3275</x:v>
      </x:c>
      <x:c r="E2" s="16" t="n">
        <x:f>IFERROR(D2/C2,0)</x:f>
        <x:v>0.289926741651469</x:v>
      </x:c>
      <x:c r="F2" t="n">
        <x:f>SUMIFS(Transactions!$I$2:$I$951,Transactions!$D$2:$D$951,A2,Transactions!$H$2:$H$951,"Completed")</x:f>
        <x:v>239</x:v>
      </x:c>
    </x:row>
    <x:row r="3">
      <x:c r="A3" t="str">
        <x:v>Monitor</x:v>
      </x:c>
      <x:c r="B3" t="str">
        <x:v>Electronics</x:v>
      </x:c>
      <x:c r="C3" s="50" t="n">
        <x:f>SUMIFS(Transactions!$M$2:$M$951,Transactions!$D$2:$D$951,A3)</x:f>
        <x:v>78319.66249999996</x:v>
      </x:c>
      <x:c r="D3" s="50" t="n">
        <x:f>SUMIFS(Transactions!$O$2:$O$951,Transactions!$D$2:$D$951,A3)</x:f>
        <x:v>28941.0125</x:v>
      </x:c>
      <x:c r="E3" s="16" t="n">
        <x:f>IFERROR(D3/C3,0)</x:f>
        <x:v>0.3695242238818383</x:v>
      </x:c>
      <x:c r="F3" t="n">
        <x:f>SUMIFS(Transactions!$I$2:$I$951,Transactions!$D$2:$D$951,A3,Transactions!$H$2:$H$951,"Completed")</x:f>
        <x:v>289</x:v>
      </x:c>
    </x:row>
    <x:row r="4">
      <x:c r="A4" t="str">
        <x:v>Keyboard</x:v>
      </x:c>
      <x:c r="B4" t="str">
        <x:v>Accessories</x:v>
      </x:c>
      <x:c r="C4" s="50" t="n">
        <x:f>SUMIFS(Transactions!$M$2:$M$951,Transactions!$D$2:$D$951,A4)</x:f>
        <x:v>10050.0335</x:v>
      </x:c>
      <x:c r="D4" s="50" t="n">
        <x:f>SUMIFS(Transactions!$O$2:$O$951,Transactions!$D$2:$D$951,A4)</x:f>
        <x:v>4366.583500000001</x:v>
      </x:c>
      <x:c r="E4" s="16" t="n">
        <x:f>IFERROR(D4/C4,0)</x:f>
        <x:v>0.4344844721164363</x:v>
      </x:c>
      <x:c r="F4" t="n">
        <x:f>SUMIFS(Transactions!$I$2:$I$951,Transactions!$D$2:$D$951,A4,Transactions!$H$2:$H$951,"Completed")</x:f>
        <x:v>217</x:v>
      </x:c>
    </x:row>
    <x:row r="5">
      <x:c r="A5" t="str">
        <x:v>Mouse</x:v>
      </x:c>
      <x:c r="B5" t="str">
        <x:v>Accessories</x:v>
      </x:c>
      <x:c r="C5" s="50" t="n">
        <x:f>SUMIFS(Transactions!$M$2:$M$951,Transactions!$D$2:$D$951,A5)</x:f>
        <x:v>4991.5105</x:v>
      </x:c>
      <x:c r="D5" s="50" t="n">
        <x:f>SUMIFS(Transactions!$O$2:$O$951,Transactions!$D$2:$D$951,A5)</x:f>
        <x:v>2459.1204999999995</x:v>
      </x:c>
      <x:c r="E5" s="16" t="n">
        <x:f>IFERROR(D5/C5,0)</x:f>
        <x:v>0.4926605884130664</x:v>
      </x:c>
      <x:c r="F5" t="n">
        <x:f>SUMIFS(Transactions!$I$2:$I$951,Transactions!$D$2:$D$951,A5,Transactions!$H$2:$H$951,"Completed")</x:f>
        <x:v>194</x:v>
      </x:c>
    </x:row>
    <x:row r="6">
      <x:c r="A6" t="str">
        <x:v>Desk</x:v>
      </x:c>
      <x:c r="B6" t="str">
        <x:v>Furniture</x:v>
      </x:c>
      <x:c r="C6" s="50" t="n">
        <x:f>SUMIFS(Transactions!$M$2:$M$951,Transactions!$D$2:$D$951,A6)</x:f>
        <x:v>63227.05950000001</x:v>
      </x:c>
      <x:c r="D6" s="50" t="n">
        <x:f>SUMIFS(Transactions!$O$2:$O$951,Transactions!$D$2:$D$951,A6)</x:f>
        <x:v>25355.319499999998</x:v>
      </x:c>
      <x:c r="E6" s="16" t="n">
        <x:f>IFERROR(D6/C6,0)</x:f>
        <x:v>0.40102006483474045</x:v>
      </x:c>
      <x:c r="F6" t="n">
        <x:f>SUMIFS(Transactions!$I$2:$I$951,Transactions!$D$2:$D$951,A6,Transactions!$H$2:$H$951,"Completed")</x:f>
        <x:v>243</x:v>
      </x:c>
    </x:row>
    <x:row r="7">
      <x:c r="A7" t="str">
        <x:v>Chair</x:v>
      </x:c>
      <x:c r="B7" t="str">
        <x:v>Furniture</x:v>
      </x:c>
      <x:c r="C7" s="50" t="n">
        <x:f>SUMIFS(Transactions!$M$2:$M$951,Transactions!$D$2:$D$951,A7)</x:f>
        <x:v>33237.9225</x:v>
      </x:c>
      <x:c r="D7" s="50" t="n">
        <x:f>SUMIFS(Transactions!$O$2:$O$951,Transactions!$D$2:$D$951,A7)</x:f>
        <x:v>15643.962499999987</x:v>
      </x:c>
      <x:c r="E7" s="16" t="n">
        <x:f>IFERROR(D7/C7,0)</x:f>
        <x:v>0.47066607427103746</x:v>
      </x:c>
      <x:c r="F7" t="n">
        <x:f>SUMIFS(Transactions!$I$2:$I$951,Transactions!$D$2:$D$951,A7,Transactions!$H$2:$H$951,"Completed")</x:f>
        <x:v>257</x:v>
      </x:c>
    </x:row>
    <x:row r="8">
      <x:c r="A8" t="str">
        <x:v>Headset</x:v>
      </x:c>
      <x:c r="B8" t="str">
        <x:v>Accessories</x:v>
      </x:c>
      <x:c r="C8" s="50" t="n">
        <x:f>SUMIFS(Transactions!$M$2:$M$951,Transactions!$D$2:$D$951,A8)</x:f>
        <x:v>17624.136500000004</x:v>
      </x:c>
      <x:c r="D8" s="50" t="n">
        <x:f>SUMIFS(Transactions!$O$2:$O$951,Transactions!$D$2:$D$951,A8)</x:f>
        <x:v>8621.016500000002</x:v>
      </x:c>
      <x:c r="E8" s="16" t="n">
        <x:f>IFERROR(D8/C8,0)</x:f>
        <x:v>0.4891596532970565</x:v>
      </x:c>
      <x:c r="F8" t="n">
        <x:f>SUMIFS(Transactions!$I$2:$I$951,Transactions!$D$2:$D$951,A8,Transactions!$H$2:$H$951,"Completed")</x:f>
        <x:v>256</x:v>
      </x:c>
    </x:row>
    <x:row r="9">
      <x:c r="A9" t="str">
        <x:v>Webcam</x:v>
      </x:c>
      <x:c r="B9" t="str">
        <x:v>Electronics</x:v>
      </x:c>
      <x:c r="C9" s="50" t="n">
        <x:f>SUMIFS(Transactions!$M$2:$M$951,Transactions!$D$2:$D$951,A9)</x:f>
        <x:v>22248.1705</x:v>
      </x:c>
      <x:c r="D9" s="50" t="n">
        <x:f>SUMIFS(Transactions!$O$2:$O$951,Transactions!$D$2:$D$951,A9)</x:f>
        <x:v>11369.3505</x:v>
      </x:c>
      <x:c r="E9" s="16" t="n">
        <x:f>IFERROR(D9/C9,0)</x:f>
        <x:v>0.5110240637539163</x:v>
      </x:c>
      <x:c r="F9" t="n">
        <x:f>SUMIFS(Transactions!$I$2:$I$951,Transactions!$D$2:$D$951,A9,Transactions!$H$2:$H$951,"Completed")</x:f>
        <x:v>258</x:v>
      </x:c>
    </x:row>
  </x:sheetData>
  <x:conditionalFormatting sqref="C2:C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{C555F0A8-D671-8443-43FB-63C132FBA73C}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72b808788ec40e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55F0A8-D671-8443-43FB-63C132FBA73C}">
            <x14:dataBar gradient="1">
              <x14:cfvo type="min"/>
              <x14:cfvo type="max"/>
              <x14:fillColor rgb="FF0F9ED5"/>
            </x14:dataBar>
          </x14:cfRule>
          <xm:sqref>C2:C9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Region</x:v>
      </x:c>
      <x:c r="B1" s="3" t="str">
        <x:v>Revenue</x:v>
      </x:c>
      <x:c r="C1" s="3" t="str">
        <x:v>Gross Profit</x:v>
      </x:c>
      <x:c r="D1" s="3" t="str">
        <x:v>Completed Orders</x:v>
      </x:c>
      <x:c r="E1" s="3" t="str">
        <x:v>Avg Order Value</x:v>
      </x:c>
    </x:row>
    <x:row r="2">
      <x:c r="A2" t="str">
        <x:v>North</x:v>
      </x:c>
      <x:c r="B2" s="50" t="n">
        <x:f>SUMIFS(Transactions!$M$2:$M$951,Transactions!$F$2:$F$951,A2)</x:f>
        <x:v>109449.12699999996</x:v>
      </x:c>
      <x:c r="C2" s="50" t="n">
        <x:f>SUMIFS(Transactions!$O$2:$O$951,Transactions!$F$2:$F$951,A2)</x:f>
        <x:v>39426.18699999997</x:v>
      </x:c>
      <x:c r="D2" t="n">
        <x:f>COUNTIFS(Transactions!$F$2:$F$951,A2,Transactions!$H$2:$H$951,"Completed")</x:f>
        <x:v>182</x:v>
      </x:c>
      <x:c r="E2" s="50" t="n">
        <x:f>IFERROR(B2/D2,0)</x:f>
        <x:v>601.3688296703294</x:v>
      </x:c>
    </x:row>
    <x:row r="3">
      <x:c r="A3" t="str">
        <x:v>Midlands</x:v>
      </x:c>
      <x:c r="B3" s="50" t="n">
        <x:f>SUMIFS(Transactions!$M$2:$M$951,Transactions!$F$2:$F$951,A3)</x:f>
        <x:v>90009.40300000003</x:v>
      </x:c>
      <x:c r="C3" s="50" t="n">
        <x:f>SUMIFS(Transactions!$O$2:$O$951,Transactions!$F$2:$F$951,A3)</x:f>
        <x:v>30593.612999999983</x:v>
      </x:c>
      <x:c r="D3" t="n">
        <x:f>COUNTIFS(Transactions!$F$2:$F$951,A3,Transactions!$H$2:$H$951,"Completed")</x:f>
        <x:v>156</x:v>
      </x:c>
      <x:c r="E3" s="50" t="n">
        <x:f>IFERROR(B3/D3,0)</x:f>
        <x:v>576.9833525641028</x:v>
      </x:c>
    </x:row>
    <x:row r="4">
      <x:c r="A4" t="str">
        <x:v>South</x:v>
      </x:c>
      <x:c r="B4" s="50" t="n">
        <x:f>SUMIFS(Transactions!$M$2:$M$951,Transactions!$F$2:$F$951,A4)</x:f>
        <x:v>119021.26799999994</x:v>
      </x:c>
      <x:c r="C4" s="50" t="n">
        <x:f>SUMIFS(Transactions!$O$2:$O$951,Transactions!$F$2:$F$951,A4)</x:f>
        <x:v>43908.43800000004</x:v>
      </x:c>
      <x:c r="D4" t="n">
        <x:f>COUNTIFS(Transactions!$F$2:$F$951,A4,Transactions!$H$2:$H$951,"Completed")</x:f>
        <x:v>212</x:v>
      </x:c>
      <x:c r="E4" s="50" t="n">
        <x:f>IFERROR(B4/D4,0)</x:f>
        <x:v>561.4210754716978</x:v>
      </x:c>
    </x:row>
    <x:row r="5">
      <x:c r="A5" t="str">
        <x:v>Scotland</x:v>
      </x:c>
      <x:c r="B5" s="50" t="n">
        <x:f>SUMIFS(Transactions!$M$2:$M$951,Transactions!$F$2:$F$951,A5)</x:f>
        <x:v>58285.11549999996</x:v>
      </x:c>
      <x:c r="C5" s="50" t="n">
        <x:f>SUMIFS(Transactions!$O$2:$O$951,Transactions!$F$2:$F$951,A5)</x:f>
        <x:v>21192.195499999994</x:v>
      </x:c>
      <x:c r="D5" t="n">
        <x:f>COUNTIFS(Transactions!$F$2:$F$951,A5,Transactions!$H$2:$H$951,"Completed")</x:f>
        <x:v>108</x:v>
      </x:c>
      <x:c r="E5" s="50" t="n">
        <x:f>IFERROR(B5/D5,0)</x:f>
        <x:v>539.67699537037</x:v>
      </x:c>
    </x:row>
    <x:row r="6">
      <x:c r="A6" t="str">
        <x:v>Wales</x:v>
      </x:c>
      <x:c r="B6" s="50" t="n">
        <x:f>SUMIFS(Transactions!$M$2:$M$951,Transactions!$F$2:$F$951,A6)</x:f>
        <x:v>62925.68949999999</x:v>
      </x:c>
      <x:c r="C6" s="50" t="n">
        <x:f>SUMIFS(Transactions!$O$2:$O$951,Transactions!$F$2:$F$951,A6)</x:f>
        <x:v>22518.259500000007</x:v>
      </x:c>
      <x:c r="D6" t="n">
        <x:f>COUNTIFS(Transactions!$F$2:$F$951,A6,Transactions!$H$2:$H$951,"Completed")</x:f>
        <x:v>100</x:v>
      </x:c>
      <x:c r="E6" s="50" t="n">
        <x:f>IFERROR(B6/D6,0)</x:f>
        <x:v>629.256895</x:v>
      </x:c>
    </x:row>
  </x:sheetData>
  <x:pageMargins left="0.7" right="0.7" top="0.75" bottom="0.75" header="0.3" footer="0.3"/>
  <x:drawing xmlns:r="http://schemas.openxmlformats.org/officeDocument/2006/relationships" r:id="R4ab25f419249420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59" t="str">
        <x:v>Field</x:v>
      </x:c>
      <x:c r="B1" s="59" t="str">
        <x:v>Description</x:v>
      </x:c>
    </x:row>
    <x:row r="2">
      <x:c r="A2" s="60" t="str">
        <x:v>TransactionID</x:v>
      </x:c>
      <x:c r="B2" s="60" t="str">
        <x:v>Unique transaction identifier</x:v>
      </x:c>
    </x:row>
    <x:row r="3">
      <x:c r="A3" s="60" t="str">
        <x:v>OrderDate</x:v>
      </x:c>
      <x:c r="B3" s="60" t="str">
        <x:v>Transaction date</x:v>
      </x:c>
    </x:row>
    <x:row r="4">
      <x:c r="A4" s="60" t="str">
        <x:v>ProductID</x:v>
      </x:c>
      <x:c r="B4" s="60" t="str">
        <x:v>Product key</x:v>
      </x:c>
    </x:row>
    <x:row r="5">
      <x:c r="A5" s="60" t="str">
        <x:v>Product</x:v>
      </x:c>
      <x:c r="B5" s="60" t="str">
        <x:v>Product name</x:v>
      </x:c>
    </x:row>
    <x:row r="6">
      <x:c r="A6" s="60" t="str">
        <x:v>Category</x:v>
      </x:c>
      <x:c r="B6" s="60" t="str">
        <x:v>Product category</x:v>
      </x:c>
    </x:row>
    <x:row r="7">
      <x:c r="A7" s="60" t="str">
        <x:v>Region</x:v>
      </x:c>
      <x:c r="B7" s="60" t="str">
        <x:v>UK sales region</x:v>
      </x:c>
    </x:row>
    <x:row r="8">
      <x:c r="A8" s="60" t="str">
        <x:v>Channel</x:v>
      </x:c>
      <x:c r="B8" s="60" t="str">
        <x:v>Sales channel</x:v>
      </x:c>
    </x:row>
    <x:row r="9">
      <x:c r="A9" s="60" t="str">
        <x:v>Status</x:v>
      </x:c>
      <x:c r="B9" s="60" t="str">
        <x:v>Completed or Cancelled</x:v>
      </x:c>
    </x:row>
    <x:row r="10">
      <x:c r="A10" s="60" t="str">
        <x:v>Quantity</x:v>
      </x:c>
      <x:c r="B10" s="60" t="str">
        <x:v>Units purchased</x:v>
      </x:c>
    </x:row>
    <x:row r="11">
      <x:c r="A11" s="60" t="str">
        <x:v>UnitPriceGBP</x:v>
      </x:c>
      <x:c r="B11" s="60" t="str">
        <x:v>Selling price per unit</x:v>
      </x:c>
    </x:row>
    <x:row r="12">
      <x:c r="A12" s="60" t="str">
        <x:v>UnitCostGBP</x:v>
      </x:c>
      <x:c r="B12" s="60" t="str">
        <x:v>Cost per unit</x:v>
      </x:c>
    </x:row>
    <x:row r="13">
      <x:c r="A13" s="60" t="str">
        <x:v>DiscountPct</x:v>
      </x:c>
      <x:c r="B13" s="60" t="str">
        <x:v>Discount percentage applied</x:v>
      </x:c>
    </x:row>
    <x:row r="14">
      <x:c r="A14" s="60" t="str">
        <x:v>NetRevenueGBP</x:v>
      </x:c>
      <x:c r="B14" s="60" t="str">
        <x:v>Formula: completed Quantity × Unit Price × (1 − Discount)</x:v>
      </x:c>
    </x:row>
    <x:row r="15">
      <x:c r="A15" s="60" t="str">
        <x:v>COGS_GBP</x:v>
      </x:c>
      <x:c r="B15" s="60" t="str">
        <x:v>Formula: completed Quantity × Unit Cost</x:v>
      </x:c>
    </x:row>
    <x:row r="16">
      <x:c r="A16" s="60" t="str">
        <x:v>GrossProfitGBP</x:v>
      </x:c>
      <x:c r="B16" s="60" t="str">
        <x:v>Net Revenue − COGS</x:v>
      </x:c>
    </x:row>
    <x:row r="17">
      <x:c r="A17" s="60" t="str">
        <x:v>GrossMarginPct</x:v>
      </x:c>
      <x:c r="B17" s="60" t="str">
        <x:v>Gross Profit ÷ Net Revenue</x:v>
      </x:c>
    </x:row>
    <x:row r="18">
      <x:c r="A18" s="60" t="str">
        <x:v>Year</x:v>
      </x:c>
      <x:c r="B18" s="60" t="str">
        <x:v>Year extracted from OrderDate</x:v>
      </x:c>
    </x:row>
    <x:row r="19">
      <x:c r="A19" s="60" t="str">
        <x:v>Month</x:v>
      </x:c>
      <x:c r="B19" s="60" t="str">
        <x:v>YYYY-MM extracted from OrderDate</x:v>
      </x:c>
    </x:row>
  </x:sheetData>
  <x:pageMargins left="0.7" right="0.7" top="0.75" bottom="0.75" header="0.3" footer="0.3"/>
</x:worksheet>
</file>